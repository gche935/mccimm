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/>
  <xr:revisionPtr revIDLastSave="0" documentId="13_ncr:1_{3C5675D5-1DC3-4999-ABFF-E20439411CE5}" xr6:coauthVersionLast="47" xr6:coauthVersionMax="47" xr10:uidLastSave="{00000000-0000-0000-0000-000000000000}"/>
  <bookViews>
    <workbookView xWindow="-22046" yWindow="-43" windowWidth="22149" windowHeight="11829" activeTab="1" xr2:uid="{00000000-000D-0000-FFFF-FFFF00000000}"/>
  </bookViews>
  <sheets>
    <sheet name="Standardized Effects with a2" sheetId="2" r:id="rId1"/>
    <sheet name="Standardized Effects without" sheetId="4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2" l="1"/>
  <c r="B12" i="4"/>
  <c r="E10" i="4" s="1"/>
  <c r="B11" i="4"/>
  <c r="B8" i="4"/>
  <c r="B7" i="4"/>
  <c r="B6" i="4"/>
  <c r="B5" i="4"/>
  <c r="D13" i="4" s="1"/>
  <c r="F10" i="2"/>
  <c r="F9" i="2"/>
  <c r="E10" i="2"/>
  <c r="E9" i="2"/>
  <c r="F9" i="4"/>
  <c r="E9" i="4"/>
  <c r="F8" i="4"/>
  <c r="E8" i="4"/>
  <c r="B12" i="2"/>
  <c r="B11" i="2"/>
  <c r="D13" i="2"/>
  <c r="D8" i="4" l="1"/>
  <c r="F10" i="4"/>
  <c r="D8" i="2"/>
  <c r="F8" i="2"/>
  <c r="E8" i="2"/>
</calcChain>
</file>

<file path=xl/sharedStrings.xml><?xml version="1.0" encoding="utf-8"?>
<sst xmlns="http://schemas.openxmlformats.org/spreadsheetml/2006/main" count="33" uniqueCount="19">
  <si>
    <t>+1sd</t>
  </si>
  <si>
    <t>-1sd</t>
  </si>
  <si>
    <t>Moderator</t>
  </si>
  <si>
    <t>Independent Variable (X)</t>
  </si>
  <si>
    <t>Dependent Variable (Y)</t>
  </si>
  <si>
    <t>High Level of Moderator</t>
  </si>
  <si>
    <t>Low level of Moderator</t>
  </si>
  <si>
    <t>Standardized Coefficients</t>
  </si>
  <si>
    <t>Labels</t>
  </si>
  <si>
    <t>INPUT</t>
  </si>
  <si>
    <t>OUTPUT: Values of Y</t>
  </si>
  <si>
    <t>Standardized Effects of Y on X Conditional on W</t>
  </si>
  <si>
    <t>X</t>
  </si>
  <si>
    <t>Y through M</t>
  </si>
  <si>
    <t>Hi (+1 SD) Z</t>
  </si>
  <si>
    <t>Low (-1 SD) Z</t>
  </si>
  <si>
    <t>Main Effect: (a1*b)*X</t>
  </si>
  <si>
    <t>Interaction Effect: (a3*b) * XW</t>
  </si>
  <si>
    <t>Main Effect: (a2*b)*W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</si>
</sst>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'Standardized Effects with a2'!$E$8</c:f>
              <c:strCache>
                <c:ptCount val="1"/>
                <c:pt idx="0">
                  <c:v>Hi (+1 SD) Z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'Standardized Effects with a2'!$D$9:$D$10</c:f>
              <c:numCache>
                <c:formatCode>General</c:formatCode>
                <c:ptCount val="2"/>
                <c:pt idx="0">
                  <c:v>1.5</c:v>
                </c:pt>
                <c:pt idx="1">
                  <c:v>-1.5</c:v>
                </c:pt>
              </c:numCache>
            </c:numRef>
          </c:xVal>
          <c:yVal>
            <c:numRef>
              <c:f>'Standardized Effects with a2'!$E$9:$E$10</c:f>
              <c:numCache>
                <c:formatCode>General</c:formatCode>
                <c:ptCount val="2"/>
                <c:pt idx="0">
                  <c:v>8.1358E-2</c:v>
                </c:pt>
                <c:pt idx="1">
                  <c:v>-4.1113999999999998E-2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1-46A8-ABC3-C6645E29A249}"/>
            </c:ext>
          </c:extLst>
        </c:ser>
        <c:ser>
          <c:idx val="2"/>
          <c:order val="1"/>
          <c:tx>
            <c:strRef>
              <c:f>'Standardized Effects with a2'!$F$8</c:f>
              <c:strCache>
                <c:ptCount val="1"/>
                <c:pt idx="0">
                  <c:v>Low (-1 SD) Z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'Standardized Effects with a2'!$D$9:$D$10</c:f>
              <c:numCache>
                <c:formatCode>General</c:formatCode>
                <c:ptCount val="2"/>
                <c:pt idx="0">
                  <c:v>1.5</c:v>
                </c:pt>
                <c:pt idx="1">
                  <c:v>-1.5</c:v>
                </c:pt>
              </c:numCache>
            </c:numRef>
          </c:xVal>
          <c:yVal>
            <c:numRef>
              <c:f>'Standardized Effects with a2'!$F$9:$F$10</c:f>
              <c:numCache>
                <c:formatCode>General</c:formatCode>
                <c:ptCount val="2"/>
                <c:pt idx="0">
                  <c:v>-1.7691999999999999E-2</c:v>
                </c:pt>
                <c:pt idx="1">
                  <c:v>-2.2552000000000003E-2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91-46A8-ABC3-C6645E29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359136"/>
        <c:axId val="497361104"/>
      </c:scatterChart>
      <c:valAx>
        <c:axId val="497359136"/>
        <c:scaling>
          <c:orientation val="minMax"/>
        </c:scaling>
        <c:delete val="0"/>
        <c:axPos val="b"/>
        <c:title>
          <c:tx>
            <c:strRef>
              <c:f>'Standardized Effects with a2'!$F$35</c:f>
              <c:strCache>
                <c:ptCount val="1"/>
                <c:pt idx="0">
                  <c:v>X (Mean = 0)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61104"/>
        <c:crossesAt val="-3"/>
        <c:crossBetween val="midCat"/>
      </c:valAx>
      <c:valAx>
        <c:axId val="497361104"/>
        <c:scaling>
          <c:orientation val="minMax"/>
        </c:scaling>
        <c:delete val="0"/>
        <c:axPos val="l"/>
        <c:title>
          <c:tx>
            <c:strRef>
              <c:f>'Standardized Effects with a2'!$B$6</c:f>
              <c:strCache>
                <c:ptCount val="1"/>
                <c:pt idx="0">
                  <c:v>Y through M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59136"/>
        <c:crossesAt val="-3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'Standardized Effects without'!$E$8</c:f>
              <c:strCache>
                <c:ptCount val="1"/>
                <c:pt idx="0">
                  <c:v>Hi (+1 SD) Z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'Standardized Effects without'!$D$9:$D$10</c:f>
              <c:numCache>
                <c:formatCode>General</c:formatCode>
                <c:ptCount val="2"/>
                <c:pt idx="0">
                  <c:v>1.5</c:v>
                </c:pt>
                <c:pt idx="1">
                  <c:v>-1.5</c:v>
                </c:pt>
              </c:numCache>
            </c:numRef>
          </c:xVal>
          <c:yVal>
            <c:numRef>
              <c:f>'Standardized Effects without'!$E$9:$E$10</c:f>
              <c:numCache>
                <c:formatCode>General</c:formatCode>
                <c:ptCount val="2"/>
                <c:pt idx="0">
                  <c:v>6.1235999999999999E-2</c:v>
                </c:pt>
                <c:pt idx="1">
                  <c:v>-6.1235999999999999E-2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1-4ED1-80C4-8E71E5B64B2F}"/>
            </c:ext>
          </c:extLst>
        </c:ser>
        <c:ser>
          <c:idx val="2"/>
          <c:order val="1"/>
          <c:tx>
            <c:strRef>
              <c:f>'Standardized Effects without'!$F$8</c:f>
              <c:strCache>
                <c:ptCount val="1"/>
                <c:pt idx="0">
                  <c:v>Low (-1 SD) Z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'Standardized Effects without'!$D$9:$D$10</c:f>
              <c:numCache>
                <c:formatCode>General</c:formatCode>
                <c:ptCount val="2"/>
                <c:pt idx="0">
                  <c:v>1.5</c:v>
                </c:pt>
                <c:pt idx="1">
                  <c:v>-1.5</c:v>
                </c:pt>
              </c:numCache>
            </c:numRef>
          </c:xVal>
          <c:yVal>
            <c:numRef>
              <c:f>'Standardized Effects without'!$F$9:$F$10</c:f>
              <c:numCache>
                <c:formatCode>General</c:formatCode>
                <c:ptCount val="2"/>
                <c:pt idx="0">
                  <c:v>2.4299999999999999E-3</c:v>
                </c:pt>
                <c:pt idx="1">
                  <c:v>-2.4299999999999999E-3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F1-4ED1-80C4-8E71E5B64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359136"/>
        <c:axId val="497361104"/>
      </c:scatterChart>
      <c:valAx>
        <c:axId val="497359136"/>
        <c:scaling>
          <c:orientation val="minMax"/>
        </c:scaling>
        <c:delete val="0"/>
        <c:axPos val="b"/>
        <c:title>
          <c:tx>
            <c:strRef>
              <c:f>'Standardized Effects with a2'!$F$35</c:f>
              <c:strCache>
                <c:ptCount val="1"/>
                <c:pt idx="0">
                  <c:v>X (Mean = 0)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61104"/>
        <c:crossesAt val="-3"/>
        <c:crossBetween val="midCat"/>
      </c:valAx>
      <c:valAx>
        <c:axId val="497361104"/>
        <c:scaling>
          <c:orientation val="minMax"/>
        </c:scaling>
        <c:delete val="0"/>
        <c:axPos val="l"/>
        <c:title>
          <c:tx>
            <c:strRef>
              <c:f>'Standardized Effects without'!$B$6</c:f>
              <c:strCache>
                <c:ptCount val="1"/>
                <c:pt idx="0">
                  <c:v>Y through M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59136"/>
        <c:crossesAt val="-3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</xdr:colOff>
      <xdr:row>14</xdr:row>
      <xdr:rowOff>10583</xdr:rowOff>
    </xdr:from>
    <xdr:to>
      <xdr:col>11</xdr:col>
      <xdr:colOff>201082</xdr:colOff>
      <xdr:row>33</xdr:row>
      <xdr:rowOff>52917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</xdr:colOff>
      <xdr:row>14</xdr:row>
      <xdr:rowOff>10583</xdr:rowOff>
    </xdr:from>
    <xdr:to>
      <xdr:col>11</xdr:col>
      <xdr:colOff>201082</xdr:colOff>
      <xdr:row>33</xdr:row>
      <xdr:rowOff>52917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439E6-E525-4BFC-B1CD-DFDD30017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opLeftCell="A15" zoomScale="90" zoomScaleNormal="90" workbookViewId="0">
      <selection activeCell="B32" sqref="B32"/>
    </sheetView>
  </sheetViews>
  <sheetFormatPr defaultRowHeight="14.6" x14ac:dyDescent="0.4"/>
  <cols>
    <col min="1" max="1" width="52.84375" bestFit="1" customWidth="1"/>
    <col min="2" max="2" width="16.84375" bestFit="1" customWidth="1"/>
    <col min="3" max="4" width="13.53515625" bestFit="1" customWidth="1"/>
    <col min="5" max="5" width="19.53515625" bestFit="1" customWidth="1"/>
    <col min="6" max="6" width="16.07421875" bestFit="1" customWidth="1"/>
  </cols>
  <sheetData>
    <row r="1" spans="1:17" x14ac:dyDescent="0.4">
      <c r="A1" s="5" t="s">
        <v>11</v>
      </c>
    </row>
    <row r="2" spans="1:17" x14ac:dyDescent="0.4">
      <c r="M2" s="2"/>
      <c r="O2" s="1"/>
      <c r="P2" s="1"/>
      <c r="Q2" s="1"/>
    </row>
    <row r="3" spans="1:17" ht="15" thickBot="1" x14ac:dyDescent="0.45">
      <c r="M3" s="2"/>
      <c r="N3" s="1"/>
    </row>
    <row r="4" spans="1:17" ht="15" thickBot="1" x14ac:dyDescent="0.45">
      <c r="A4" s="5" t="s">
        <v>8</v>
      </c>
      <c r="B4" s="11" t="s">
        <v>9</v>
      </c>
      <c r="M4" s="2"/>
      <c r="N4" s="1"/>
    </row>
    <row r="5" spans="1:17" ht="15" thickBot="1" x14ac:dyDescent="0.45">
      <c r="A5" t="s">
        <v>3</v>
      </c>
      <c r="B5" s="4" t="s">
        <v>12</v>
      </c>
      <c r="D5" s="7"/>
      <c r="E5" s="8" t="s">
        <v>10</v>
      </c>
      <c r="F5" s="9"/>
      <c r="M5" s="2"/>
    </row>
    <row r="6" spans="1:17" x14ac:dyDescent="0.4">
      <c r="A6" t="s">
        <v>4</v>
      </c>
      <c r="B6" s="4" t="s">
        <v>13</v>
      </c>
      <c r="E6" s="6" t="s">
        <v>2</v>
      </c>
      <c r="M6" s="2"/>
    </row>
    <row r="7" spans="1:17" x14ac:dyDescent="0.4">
      <c r="A7" t="s">
        <v>5</v>
      </c>
      <c r="B7" s="4" t="s">
        <v>14</v>
      </c>
      <c r="E7" s="3" t="s">
        <v>0</v>
      </c>
      <c r="F7" s="3" t="s">
        <v>1</v>
      </c>
      <c r="M7" s="2"/>
    </row>
    <row r="8" spans="1:17" x14ac:dyDescent="0.4">
      <c r="A8" t="s">
        <v>6</v>
      </c>
      <c r="B8" s="4" t="s">
        <v>15</v>
      </c>
      <c r="D8" t="str">
        <f>B5</f>
        <v>X</v>
      </c>
      <c r="E8" s="1" t="str">
        <f>B7</f>
        <v>Hi (+1 SD) Z</v>
      </c>
      <c r="F8" s="1" t="str">
        <f>B8</f>
        <v>Low (-1 SD) Z</v>
      </c>
      <c r="M8" s="2"/>
    </row>
    <row r="9" spans="1:17" x14ac:dyDescent="0.4">
      <c r="D9" s="1">
        <v>1.5</v>
      </c>
      <c r="E9">
        <f xml:space="preserve"> (B11+B12*1)*D9+B13</f>
        <v>8.1358E-2</v>
      </c>
      <c r="F9">
        <f xml:space="preserve"> (B11+B12*-1)*D9-B13</f>
        <v>-1.7691999999999999E-2</v>
      </c>
      <c r="M9" s="2"/>
    </row>
    <row r="10" spans="1:17" x14ac:dyDescent="0.4">
      <c r="A10" s="5" t="s">
        <v>7</v>
      </c>
      <c r="D10" s="1">
        <v>-1.5</v>
      </c>
      <c r="E10">
        <f xml:space="preserve"> (B11+B12*1)*D10+B13</f>
        <v>-4.1113999999999998E-2</v>
      </c>
      <c r="F10">
        <f xml:space="preserve"> (B11+B12*-1)*D10-B13</f>
        <v>-2.2552000000000003E-2</v>
      </c>
      <c r="M10" s="3"/>
      <c r="N10" s="1"/>
    </row>
    <row r="11" spans="1:17" x14ac:dyDescent="0.4">
      <c r="A11" t="s">
        <v>16</v>
      </c>
      <c r="B11" s="4">
        <f>0.131*0.162</f>
        <v>2.1222000000000001E-2</v>
      </c>
      <c r="M11" s="2"/>
      <c r="N11" s="1"/>
    </row>
    <row r="12" spans="1:17" x14ac:dyDescent="0.4">
      <c r="A12" t="s">
        <v>17</v>
      </c>
      <c r="B12" s="4">
        <f>0.121*0.162</f>
        <v>1.9602000000000001E-2</v>
      </c>
      <c r="M12" s="2"/>
    </row>
    <row r="13" spans="1:17" x14ac:dyDescent="0.4">
      <c r="A13" t="s">
        <v>18</v>
      </c>
      <c r="B13" s="4">
        <v>2.0122000000000001E-2</v>
      </c>
      <c r="D13" s="10" t="str">
        <f xml:space="preserve"> "Standardized Effects of " &amp; B5 &amp; " on " &amp;B6</f>
        <v>Standardized Effects of X on Y through M</v>
      </c>
      <c r="M13" s="2"/>
    </row>
    <row r="14" spans="1:17" x14ac:dyDescent="0.4">
      <c r="M14" s="2"/>
    </row>
    <row r="15" spans="1:17" x14ac:dyDescent="0.4">
      <c r="M15" s="2"/>
    </row>
    <row r="16" spans="1:17" x14ac:dyDescent="0.4">
      <c r="M16" s="2"/>
    </row>
    <row r="17" spans="4:17" x14ac:dyDescent="0.4">
      <c r="M17" s="2"/>
    </row>
    <row r="18" spans="4:17" x14ac:dyDescent="0.4">
      <c r="M18" s="2"/>
    </row>
    <row r="19" spans="4:17" x14ac:dyDescent="0.4">
      <c r="D19" s="1"/>
      <c r="M19" s="3"/>
      <c r="N19" s="1"/>
    </row>
    <row r="20" spans="4:17" x14ac:dyDescent="0.4">
      <c r="D20" s="1"/>
      <c r="M20" s="2"/>
      <c r="N20" s="1"/>
    </row>
    <row r="21" spans="4:17" x14ac:dyDescent="0.4">
      <c r="M21" s="2"/>
    </row>
    <row r="22" spans="4:17" x14ac:dyDescent="0.4">
      <c r="M22" s="2"/>
    </row>
    <row r="23" spans="4:17" x14ac:dyDescent="0.4">
      <c r="D23" s="1"/>
      <c r="M23" s="3"/>
      <c r="N23" s="1"/>
    </row>
    <row r="24" spans="4:17" x14ac:dyDescent="0.4">
      <c r="D24" s="1"/>
      <c r="M24" s="2"/>
      <c r="N24" s="1"/>
    </row>
    <row r="25" spans="4:17" x14ac:dyDescent="0.4">
      <c r="M25" s="2"/>
    </row>
    <row r="26" spans="4:17" x14ac:dyDescent="0.4">
      <c r="M26" s="2"/>
    </row>
    <row r="28" spans="4:17" x14ac:dyDescent="0.4">
      <c r="E28" s="1"/>
      <c r="F28" s="1"/>
      <c r="G28" s="1"/>
      <c r="M28" s="2"/>
      <c r="O28" s="1"/>
      <c r="P28" s="1"/>
      <c r="Q28" s="1"/>
    </row>
    <row r="29" spans="4:17" x14ac:dyDescent="0.4">
      <c r="D29" s="1"/>
      <c r="M29" s="2"/>
      <c r="N29" s="1"/>
    </row>
    <row r="30" spans="4:17" x14ac:dyDescent="0.4">
      <c r="D30" s="1"/>
      <c r="M30" s="2"/>
      <c r="N30" s="1"/>
    </row>
    <row r="31" spans="4:17" x14ac:dyDescent="0.4">
      <c r="M31" s="2"/>
    </row>
    <row r="32" spans="4:17" x14ac:dyDescent="0.4">
      <c r="M32" s="2"/>
    </row>
    <row r="33" spans="4:14" x14ac:dyDescent="0.4">
      <c r="M33" s="2"/>
    </row>
    <row r="34" spans="4:14" x14ac:dyDescent="0.4">
      <c r="M34" s="2"/>
    </row>
    <row r="35" spans="4:14" x14ac:dyDescent="0.4">
      <c r="F35" t="str">
        <f>CONCATENATE(B5, " (Mean = 0)")</f>
        <v>X (Mean = 0)</v>
      </c>
      <c r="M35" s="2"/>
    </row>
    <row r="36" spans="4:14" x14ac:dyDescent="0.4">
      <c r="D36" s="1"/>
      <c r="M36" s="3"/>
      <c r="N36" s="1"/>
    </row>
    <row r="37" spans="4:14" x14ac:dyDescent="0.4">
      <c r="D37" s="1"/>
      <c r="M37" s="2"/>
      <c r="N37" s="1"/>
    </row>
    <row r="38" spans="4:14" x14ac:dyDescent="0.4">
      <c r="M38" s="2"/>
    </row>
    <row r="39" spans="4:14" x14ac:dyDescent="0.4">
      <c r="M39" s="2"/>
    </row>
    <row r="40" spans="4:14" x14ac:dyDescent="0.4">
      <c r="M40" s="2"/>
    </row>
    <row r="41" spans="4:14" x14ac:dyDescent="0.4">
      <c r="M41" s="2"/>
    </row>
    <row r="42" spans="4:14" x14ac:dyDescent="0.4">
      <c r="M42" s="2"/>
    </row>
    <row r="43" spans="4:14" x14ac:dyDescent="0.4">
      <c r="M43" s="2"/>
    </row>
    <row r="44" spans="4:14" x14ac:dyDescent="0.4">
      <c r="M44" s="2"/>
    </row>
    <row r="45" spans="4:14" x14ac:dyDescent="0.4">
      <c r="D45" s="1"/>
      <c r="M45" s="3"/>
      <c r="N45" s="1"/>
    </row>
    <row r="46" spans="4:14" x14ac:dyDescent="0.4">
      <c r="D46" s="1"/>
      <c r="M46" s="2"/>
      <c r="N46" s="1"/>
    </row>
    <row r="47" spans="4:14" x14ac:dyDescent="0.4">
      <c r="M47" s="2"/>
    </row>
    <row r="48" spans="4:14" x14ac:dyDescent="0.4">
      <c r="M48" s="2"/>
    </row>
    <row r="49" spans="4:14" x14ac:dyDescent="0.4">
      <c r="D49" s="1"/>
      <c r="M49" s="3"/>
      <c r="N49" s="1"/>
    </row>
    <row r="50" spans="4:14" x14ac:dyDescent="0.4">
      <c r="D50" s="1"/>
      <c r="M50" s="2"/>
      <c r="N50" s="1"/>
    </row>
    <row r="51" spans="4:14" x14ac:dyDescent="0.4">
      <c r="M51" s="2"/>
    </row>
    <row r="53" spans="4:14" x14ac:dyDescent="0.4">
      <c r="D53" s="1"/>
    </row>
    <row r="54" spans="4:14" x14ac:dyDescent="0.4">
      <c r="D54" s="1"/>
    </row>
    <row r="57" spans="4:14" x14ac:dyDescent="0.4">
      <c r="D57" s="1"/>
    </row>
    <row r="58" spans="4:14" x14ac:dyDescent="0.4">
      <c r="D58" s="1"/>
    </row>
    <row r="61" spans="4:14" x14ac:dyDescent="0.4">
      <c r="D61" s="1"/>
    </row>
    <row r="62" spans="4:14" x14ac:dyDescent="0.4">
      <c r="D62" s="1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FE91-F8F5-4A3C-A03D-05B09CC7D9AE}">
  <dimension ref="A1:Q62"/>
  <sheetViews>
    <sheetView tabSelected="1" topLeftCell="A12" zoomScale="90" zoomScaleNormal="90" workbookViewId="0">
      <selection activeCell="B31" sqref="B31"/>
    </sheetView>
  </sheetViews>
  <sheetFormatPr defaultRowHeight="14.6" x14ac:dyDescent="0.4"/>
  <cols>
    <col min="1" max="1" width="52.84375" bestFit="1" customWidth="1"/>
    <col min="2" max="2" width="16.84375" bestFit="1" customWidth="1"/>
    <col min="3" max="4" width="13.53515625" bestFit="1" customWidth="1"/>
    <col min="5" max="5" width="19.53515625" bestFit="1" customWidth="1"/>
    <col min="6" max="6" width="16.07421875" bestFit="1" customWidth="1"/>
  </cols>
  <sheetData>
    <row r="1" spans="1:17" x14ac:dyDescent="0.4">
      <c r="A1" s="5" t="s">
        <v>11</v>
      </c>
    </row>
    <row r="2" spans="1:17" x14ac:dyDescent="0.4">
      <c r="M2" s="2"/>
      <c r="O2" s="1"/>
      <c r="P2" s="1"/>
      <c r="Q2" s="1"/>
    </row>
    <row r="3" spans="1:17" ht="15" thickBot="1" x14ac:dyDescent="0.45">
      <c r="M3" s="2"/>
      <c r="N3" s="1"/>
    </row>
    <row r="4" spans="1:17" ht="15" thickBot="1" x14ac:dyDescent="0.45">
      <c r="A4" s="5" t="s">
        <v>8</v>
      </c>
      <c r="B4" s="11" t="s">
        <v>9</v>
      </c>
      <c r="M4" s="2"/>
      <c r="N4" s="1"/>
    </row>
    <row r="5" spans="1:17" ht="15" thickBot="1" x14ac:dyDescent="0.45">
      <c r="A5" t="s">
        <v>3</v>
      </c>
      <c r="B5" s="4" t="str">
        <f>'Standardized Effects with a2'!B5</f>
        <v>X</v>
      </c>
      <c r="D5" s="7"/>
      <c r="E5" s="8" t="s">
        <v>10</v>
      </c>
      <c r="F5" s="9"/>
      <c r="M5" s="2"/>
    </row>
    <row r="6" spans="1:17" x14ac:dyDescent="0.4">
      <c r="A6" t="s">
        <v>4</v>
      </c>
      <c r="B6" s="4" t="str">
        <f>'Standardized Effects with a2'!B6</f>
        <v>Y through M</v>
      </c>
      <c r="E6" s="6" t="s">
        <v>2</v>
      </c>
      <c r="M6" s="2"/>
    </row>
    <row r="7" spans="1:17" x14ac:dyDescent="0.4">
      <c r="A7" t="s">
        <v>5</v>
      </c>
      <c r="B7" s="4" t="str">
        <f>'Standardized Effects with a2'!B7</f>
        <v>Hi (+1 SD) Z</v>
      </c>
      <c r="E7" s="3" t="s">
        <v>0</v>
      </c>
      <c r="F7" s="3" t="s">
        <v>1</v>
      </c>
      <c r="M7" s="2"/>
    </row>
    <row r="8" spans="1:17" x14ac:dyDescent="0.4">
      <c r="A8" t="s">
        <v>6</v>
      </c>
      <c r="B8" s="4" t="str">
        <f>'Standardized Effects with a2'!B8</f>
        <v>Low (-1 SD) Z</v>
      </c>
      <c r="D8" t="str">
        <f>B5</f>
        <v>X</v>
      </c>
      <c r="E8" s="1" t="str">
        <f>B7</f>
        <v>Hi (+1 SD) Z</v>
      </c>
      <c r="F8" s="1" t="str">
        <f>B8</f>
        <v>Low (-1 SD) Z</v>
      </c>
      <c r="M8" s="2"/>
    </row>
    <row r="9" spans="1:17" x14ac:dyDescent="0.4">
      <c r="D9" s="1">
        <v>1.5</v>
      </c>
      <c r="E9">
        <f xml:space="preserve"> (B11+B12*1)*D9</f>
        <v>6.1235999999999999E-2</v>
      </c>
      <c r="F9">
        <f xml:space="preserve"> (B11+B12*-1)*D9</f>
        <v>2.4299999999999999E-3</v>
      </c>
      <c r="M9" s="2"/>
    </row>
    <row r="10" spans="1:17" x14ac:dyDescent="0.4">
      <c r="A10" s="5" t="s">
        <v>7</v>
      </c>
      <c r="D10" s="1">
        <v>-1.5</v>
      </c>
      <c r="E10">
        <f xml:space="preserve"> (B11+B12*1)*D10</f>
        <v>-6.1235999999999999E-2</v>
      </c>
      <c r="F10">
        <f xml:space="preserve"> (B11+B12*-1)*D10</f>
        <v>-2.4299999999999999E-3</v>
      </c>
      <c r="M10" s="3"/>
      <c r="N10" s="1"/>
    </row>
    <row r="11" spans="1:17" x14ac:dyDescent="0.4">
      <c r="A11" t="s">
        <v>16</v>
      </c>
      <c r="B11" s="4">
        <f>'Standardized Effects with a2'!B11</f>
        <v>2.1222000000000001E-2</v>
      </c>
      <c r="M11" s="2"/>
      <c r="N11" s="1"/>
    </row>
    <row r="12" spans="1:17" x14ac:dyDescent="0.4">
      <c r="A12" t="s">
        <v>17</v>
      </c>
      <c r="B12" s="4">
        <f>'Standardized Effects with a2'!B12</f>
        <v>1.9602000000000001E-2</v>
      </c>
      <c r="M12" s="2"/>
    </row>
    <row r="13" spans="1:17" x14ac:dyDescent="0.4">
      <c r="D13" s="10" t="str">
        <f xml:space="preserve"> "Standardized Effects of " &amp; B5 &amp; " on " &amp;B6</f>
        <v>Standardized Effects of X on Y through M</v>
      </c>
      <c r="M13" s="2"/>
    </row>
    <row r="14" spans="1:17" x14ac:dyDescent="0.4">
      <c r="M14" s="2"/>
    </row>
    <row r="15" spans="1:17" x14ac:dyDescent="0.4">
      <c r="M15" s="2"/>
    </row>
    <row r="16" spans="1:17" x14ac:dyDescent="0.4">
      <c r="M16" s="2"/>
    </row>
    <row r="17" spans="4:17" x14ac:dyDescent="0.4">
      <c r="M17" s="2"/>
    </row>
    <row r="18" spans="4:17" x14ac:dyDescent="0.4">
      <c r="M18" s="2"/>
    </row>
    <row r="19" spans="4:17" x14ac:dyDescent="0.4">
      <c r="D19" s="1"/>
      <c r="M19" s="3"/>
      <c r="N19" s="1"/>
    </row>
    <row r="20" spans="4:17" x14ac:dyDescent="0.4">
      <c r="D20" s="1"/>
      <c r="M20" s="2"/>
      <c r="N20" s="1"/>
    </row>
    <row r="21" spans="4:17" x14ac:dyDescent="0.4">
      <c r="M21" s="2"/>
    </row>
    <row r="22" spans="4:17" x14ac:dyDescent="0.4">
      <c r="M22" s="2"/>
    </row>
    <row r="23" spans="4:17" x14ac:dyDescent="0.4">
      <c r="D23" s="1"/>
      <c r="M23" s="3"/>
      <c r="N23" s="1"/>
    </row>
    <row r="24" spans="4:17" x14ac:dyDescent="0.4">
      <c r="D24" s="1"/>
      <c r="M24" s="2"/>
      <c r="N24" s="1"/>
    </row>
    <row r="25" spans="4:17" x14ac:dyDescent="0.4">
      <c r="M25" s="2"/>
    </row>
    <row r="26" spans="4:17" x14ac:dyDescent="0.4">
      <c r="M26" s="2"/>
    </row>
    <row r="28" spans="4:17" x14ac:dyDescent="0.4">
      <c r="E28" s="1"/>
      <c r="F28" s="1"/>
      <c r="G28" s="1"/>
      <c r="M28" s="2"/>
      <c r="O28" s="1"/>
      <c r="P28" s="1"/>
      <c r="Q28" s="1"/>
    </row>
    <row r="29" spans="4:17" x14ac:dyDescent="0.4">
      <c r="D29" s="1"/>
      <c r="M29" s="2"/>
      <c r="N29" s="1"/>
    </row>
    <row r="30" spans="4:17" x14ac:dyDescent="0.4">
      <c r="D30" s="1"/>
      <c r="M30" s="2"/>
      <c r="N30" s="1"/>
    </row>
    <row r="31" spans="4:17" x14ac:dyDescent="0.4">
      <c r="M31" s="2"/>
    </row>
    <row r="32" spans="4:17" x14ac:dyDescent="0.4">
      <c r="M32" s="2"/>
    </row>
    <row r="33" spans="4:14" x14ac:dyDescent="0.4">
      <c r="M33" s="2"/>
    </row>
    <row r="34" spans="4:14" x14ac:dyDescent="0.4">
      <c r="M34" s="2"/>
    </row>
    <row r="35" spans="4:14" x14ac:dyDescent="0.4">
      <c r="M35" s="2"/>
    </row>
    <row r="36" spans="4:14" x14ac:dyDescent="0.4">
      <c r="D36" s="1"/>
      <c r="M36" s="3"/>
      <c r="N36" s="1"/>
    </row>
    <row r="37" spans="4:14" x14ac:dyDescent="0.4">
      <c r="D37" s="1"/>
      <c r="M37" s="2"/>
      <c r="N37" s="1"/>
    </row>
    <row r="38" spans="4:14" x14ac:dyDescent="0.4">
      <c r="M38" s="2"/>
    </row>
    <row r="39" spans="4:14" x14ac:dyDescent="0.4">
      <c r="M39" s="2"/>
    </row>
    <row r="40" spans="4:14" x14ac:dyDescent="0.4">
      <c r="M40" s="2"/>
    </row>
    <row r="41" spans="4:14" x14ac:dyDescent="0.4">
      <c r="M41" s="2"/>
    </row>
    <row r="42" spans="4:14" x14ac:dyDescent="0.4">
      <c r="M42" s="2"/>
    </row>
    <row r="43" spans="4:14" x14ac:dyDescent="0.4">
      <c r="M43" s="2"/>
    </row>
    <row r="44" spans="4:14" x14ac:dyDescent="0.4">
      <c r="M44" s="2"/>
    </row>
    <row r="45" spans="4:14" x14ac:dyDescent="0.4">
      <c r="D45" s="1"/>
      <c r="M45" s="3"/>
      <c r="N45" s="1"/>
    </row>
    <row r="46" spans="4:14" x14ac:dyDescent="0.4">
      <c r="D46" s="1"/>
      <c r="M46" s="2"/>
      <c r="N46" s="1"/>
    </row>
    <row r="47" spans="4:14" x14ac:dyDescent="0.4">
      <c r="M47" s="2"/>
    </row>
    <row r="48" spans="4:14" x14ac:dyDescent="0.4">
      <c r="M48" s="2"/>
    </row>
    <row r="49" spans="4:14" x14ac:dyDescent="0.4">
      <c r="D49" s="1"/>
      <c r="M49" s="3"/>
      <c r="N49" s="1"/>
    </row>
    <row r="50" spans="4:14" x14ac:dyDescent="0.4">
      <c r="D50" s="1"/>
      <c r="M50" s="2"/>
      <c r="N50" s="1"/>
    </row>
    <row r="51" spans="4:14" x14ac:dyDescent="0.4">
      <c r="M51" s="2"/>
    </row>
    <row r="53" spans="4:14" x14ac:dyDescent="0.4">
      <c r="D53" s="1"/>
    </row>
    <row r="54" spans="4:14" x14ac:dyDescent="0.4">
      <c r="D54" s="1"/>
    </row>
    <row r="57" spans="4:14" x14ac:dyDescent="0.4">
      <c r="D57" s="1"/>
    </row>
    <row r="58" spans="4:14" x14ac:dyDescent="0.4">
      <c r="D58" s="1"/>
    </row>
    <row r="61" spans="4:14" x14ac:dyDescent="0.4">
      <c r="D61" s="1"/>
    </row>
    <row r="62" spans="4:14" x14ac:dyDescent="0.4">
      <c r="D62" s="1"/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FB1E-AE13-4BA8-B09C-9A61CC50641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Standardized Effects with a2</vt:lpstr>
      <vt:lpstr>Standardized Effects without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2020-05-07T02:24:53Z</dcterms:created>
  <dcterms:modified xsi:type="dcterms:W3CDTF">2024-06-02T05:06:18Z</dcterms:modified>
</cp:coreProperties>
</file>