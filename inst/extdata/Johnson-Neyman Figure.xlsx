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/>
  <xr:revisionPtr revIDLastSave="0" documentId="13_ncr:1_{5E3B44F0-927D-4798-AE99-62E8CE074FC1}" xr6:coauthVersionLast="47" xr6:coauthVersionMax="47" xr10:uidLastSave="{00000000-0000-0000-0000-000000000000}"/>
  <bookViews>
    <workbookView xWindow="-22046" yWindow="-43" windowWidth="22149" windowHeight="11829" activeTab="1" xr2:uid="{00000000-000D-0000-FFFF-FFFF00000000}"/>
  </bookViews>
  <sheets>
    <sheet name="BCCI" sheetId="3" r:id="rId1"/>
    <sheet name="Percentile CI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4" l="1"/>
  <c r="H2" i="4" s="1"/>
  <c r="B6" i="4"/>
  <c r="B5" i="4"/>
  <c r="H3" i="4" s="1"/>
  <c r="B16" i="4"/>
  <c r="B15" i="4"/>
  <c r="B14" i="4"/>
  <c r="B13" i="4"/>
  <c r="B12" i="4"/>
  <c r="H3" i="3"/>
  <c r="H2" i="3"/>
  <c r="B16" i="3" l="1"/>
  <c r="B15" i="3"/>
  <c r="B14" i="3"/>
  <c r="B13" i="3"/>
  <c r="B12" i="3"/>
</calcChain>
</file>

<file path=xl/sharedStrings.xml><?xml version="1.0" encoding="utf-8"?>
<sst xmlns="http://schemas.openxmlformats.org/spreadsheetml/2006/main" count="41" uniqueCount="22">
  <si>
    <t>Independent Variable (X)</t>
  </si>
  <si>
    <t>Dependent Variable (Y)</t>
  </si>
  <si>
    <t>Labels</t>
  </si>
  <si>
    <t>INPUT</t>
  </si>
  <si>
    <t>Value</t>
  </si>
  <si>
    <t>95% CI Lo</t>
  </si>
  <si>
    <t>Estimate</t>
  </si>
  <si>
    <t>95% CI Hi</t>
  </si>
  <si>
    <t>Mean - 2 s.d.</t>
  </si>
  <si>
    <t>Mean - 1 s.d.</t>
  </si>
  <si>
    <t>Mean</t>
  </si>
  <si>
    <t>Mean + 1 s.d.</t>
  </si>
  <si>
    <t>Mean + 2 s.d .</t>
  </si>
  <si>
    <t>Moderator (W)</t>
  </si>
  <si>
    <t>Standard deviation of moderator (W)</t>
  </si>
  <si>
    <t>Social Self-Efficacy</t>
  </si>
  <si>
    <t>Y-Xias Label</t>
  </si>
  <si>
    <t>X-Axis Label</t>
  </si>
  <si>
    <t>Unstandardized Effects of Y on X Conditional on Z</t>
  </si>
  <si>
    <t>X</t>
  </si>
  <si>
    <t>Y through M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</si>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</sst>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1" fillId="3" borderId="1" xfId="0" applyFont="1" applyFill="1" applyBorder="1" applyAlignment="1">
      <alignment horizontal="center"/>
    </xf>
    <xf numFmtId="0" fontId="0" fillId="4" borderId="0" xfId="0" quotePrefix="1" applyFill="1"/>
    <xf numFmtId="0" fontId="0" fillId="4" borderId="0" xfId="0" applyFill="1"/>
    <xf numFmtId="164" fontId="0" fillId="4" borderId="0" xfId="0" quotePrefix="1" applyNumberFormat="1" applyFill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BCCI!$C$11</c:f>
              <c:strCache>
                <c:ptCount val="1"/>
                <c:pt idx="0">
                  <c:v>95% CI Lo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BCCI!$B$12:$B$16</c:f>
              <c:numCache>
                <c:formatCode>0.000</c:formatCode>
                <c:ptCount val="5"/>
                <c:pt idx="0">
                  <c:v>-1.1200000000000001</c:v>
                </c:pt>
                <c:pt idx="1">
                  <c:v>-0.56000000000000005</c:v>
                </c:pt>
                <c:pt idx="2">
                  <c:v>0</c:v>
                </c:pt>
                <c:pt idx="3">
                  <c:v>0.56000000000000005</c:v>
                </c:pt>
                <c:pt idx="4">
                  <c:v>1.1200000000000001</c:v>
                </c:pt>
              </c:numCache>
            </c:numRef>
          </c:xVal>
          <c:yVal>
            <c:numRef>
              <c:f>BCCI!$C$12:$C$16</c:f>
              <c:numCache>
                <c:formatCode>0.000</c:formatCode>
                <c:ptCount val="5"/>
                <c:pt idx="0">
                  <c:v>0.1812</c:v>
                </c:pt>
                <c:pt idx="1">
                  <c:v>0.14080000000000001</c:v>
                </c:pt>
                <c:pt idx="2">
                  <c:v>8.6400000000000005E-2</c:v>
                </c:pt>
                <c:pt idx="3">
                  <c:v>-2.23E-2</c:v>
                </c:pt>
                <c:pt idx="4">
                  <c:v>-0.20280000000000001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CC-4A3A-BE08-3BE3B7EF242C}"/>
            </c:ext>
          </c:extLst>
        </c:ser>
        <c:ser>
          <c:idx val="1"/>
          <c:order val="1"/>
          <c:tx>
            <c:strRef>
              <c:f>BCCI!$D$11</c:f>
              <c:strCache>
                <c:ptCount val="1"/>
                <c:pt idx="0">
                  <c:v>Estimate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BCCI!$B$12:$B$16</c:f>
              <c:numCache>
                <c:formatCode>0.000</c:formatCode>
                <c:ptCount val="5"/>
                <c:pt idx="0">
                  <c:v>-1.1200000000000001</c:v>
                </c:pt>
                <c:pt idx="1">
                  <c:v>-0.56000000000000005</c:v>
                </c:pt>
                <c:pt idx="2">
                  <c:v>0</c:v>
                </c:pt>
                <c:pt idx="3">
                  <c:v>0.56000000000000005</c:v>
                </c:pt>
                <c:pt idx="4">
                  <c:v>1.1200000000000001</c:v>
                </c:pt>
              </c:numCache>
            </c:numRef>
          </c:xVal>
          <c:yVal>
            <c:numRef>
              <c:f>BCCI!$D$12:$D$16</c:f>
              <c:numCache>
                <c:formatCode>0.000</c:formatCode>
                <c:ptCount val="5"/>
                <c:pt idx="0">
                  <c:v>0.35730000000000001</c:v>
                </c:pt>
                <c:pt idx="1">
                  <c:v>0.2611</c:v>
                </c:pt>
                <c:pt idx="2">
                  <c:v>0.16489999999999999</c:v>
                </c:pt>
                <c:pt idx="3">
                  <c:v>6.8699999999999997E-2</c:v>
                </c:pt>
                <c:pt idx="4">
                  <c:v>-2.75E-2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CC-4A3A-BE08-3BE3B7EF242C}"/>
            </c:ext>
          </c:extLst>
        </c:ser>
        <c:ser>
          <c:idx val="2"/>
          <c:order val="2"/>
          <c:tx>
            <c:strRef>
              <c:f>BCCI!$E$11</c:f>
              <c:strCache>
                <c:ptCount val="1"/>
                <c:pt idx="0">
                  <c:v>95% CI Hi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BCCI!$B$12:$B$16</c:f>
              <c:numCache>
                <c:formatCode>0.000</c:formatCode>
                <c:ptCount val="5"/>
                <c:pt idx="0">
                  <c:v>-1.1200000000000001</c:v>
                </c:pt>
                <c:pt idx="1">
                  <c:v>-0.56000000000000005</c:v>
                </c:pt>
                <c:pt idx="2">
                  <c:v>0</c:v>
                </c:pt>
                <c:pt idx="3">
                  <c:v>0.56000000000000005</c:v>
                </c:pt>
                <c:pt idx="4">
                  <c:v>1.1200000000000001</c:v>
                </c:pt>
              </c:numCache>
            </c:numRef>
          </c:xVal>
          <c:yVal>
            <c:numRef>
              <c:f>BCCI!$E$12:$E$16</c:f>
              <c:numCache>
                <c:formatCode>0.000</c:formatCode>
                <c:ptCount val="5"/>
                <c:pt idx="0">
                  <c:v>0.621</c:v>
                </c:pt>
                <c:pt idx="1">
                  <c:v>0.43530000000000002</c:v>
                </c:pt>
                <c:pt idx="2">
                  <c:v>0.27829999999999999</c:v>
                </c:pt>
                <c:pt idx="3">
                  <c:v>0.18290000000000001</c:v>
                </c:pt>
                <c:pt idx="4">
                  <c:v>0.11899999999999999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CCC-4A3A-BE08-3BE3B7EF2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656968"/>
        <c:axId val="418661232"/>
        <c:extLst/>
      </c:scatterChart>
      <c:valAx>
        <c:axId val="418656968"/>
        <c:scaling>
          <c:orientation val="minMax"/>
        </c:scaling>
        <c:delete val="0"/>
        <c:axPos val="b"/>
        <c:title>
          <c:tx>
            <c:strRef>
              <c:f>BCCI!$H$2</c:f>
              <c:strCache>
                <c:ptCount val="1"/>
                <c:pt idx="0">
                  <c:v>W (0.0 = Mean)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661232"/>
        <c:crossesAt val="-4"/>
        <c:crossBetween val="midCat"/>
      </c:valAx>
      <c:valAx>
        <c:axId val="41866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BCCI!$H$3</c:f>
              <c:strCache>
                <c:ptCount val="1"/>
                <c:pt idx="0">
                  <c:v>Unstandardized Effects of X on Y through M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656968"/>
        <c:crossesAt val="-4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'Percentile CI'!$C$11</c:f>
              <c:strCache>
                <c:ptCount val="1"/>
                <c:pt idx="0">
                  <c:v>95% CI Lo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'Percentile CI'!$B$12:$B$16</c:f>
              <c:numCache>
                <c:formatCode>0.000</c:formatCode>
                <c:ptCount val="5"/>
                <c:pt idx="0">
                  <c:v>-1.1200000000000001</c:v>
                </c:pt>
                <c:pt idx="1">
                  <c:v>-0.56000000000000005</c:v>
                </c:pt>
                <c:pt idx="2">
                  <c:v>0</c:v>
                </c:pt>
                <c:pt idx="3">
                  <c:v>0.56000000000000005</c:v>
                </c:pt>
                <c:pt idx="4">
                  <c:v>1.1200000000000001</c:v>
                </c:pt>
              </c:numCache>
            </c:numRef>
          </c:xVal>
          <c:yVal>
            <c:numRef>
              <c:f>'Percentile CI'!$C$12:$C$16</c:f>
              <c:numCache>
                <c:formatCode>0.000</c:formatCode>
                <c:ptCount val="5"/>
                <c:pt idx="0">
                  <c:v>0.16270000000000001</c:v>
                </c:pt>
                <c:pt idx="1">
                  <c:v>0.12870000000000001</c:v>
                </c:pt>
                <c:pt idx="2">
                  <c:v>7.8899999999999998E-2</c:v>
                </c:pt>
                <c:pt idx="3">
                  <c:v>-2.8299999999999999E-2</c:v>
                </c:pt>
                <c:pt idx="4">
                  <c:v>-0.19289999999999999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85-40AB-B0FA-4E7CB7C2EDB0}"/>
            </c:ext>
          </c:extLst>
        </c:ser>
        <c:ser>
          <c:idx val="1"/>
          <c:order val="1"/>
          <c:tx>
            <c:strRef>
              <c:f>'Percentile CI'!$D$11</c:f>
              <c:strCache>
                <c:ptCount val="1"/>
                <c:pt idx="0">
                  <c:v>Estimate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'Percentile CI'!$B$12:$B$16</c:f>
              <c:numCache>
                <c:formatCode>0.000</c:formatCode>
                <c:ptCount val="5"/>
                <c:pt idx="0">
                  <c:v>-1.1200000000000001</c:v>
                </c:pt>
                <c:pt idx="1">
                  <c:v>-0.56000000000000005</c:v>
                </c:pt>
                <c:pt idx="2">
                  <c:v>0</c:v>
                </c:pt>
                <c:pt idx="3">
                  <c:v>0.56000000000000005</c:v>
                </c:pt>
                <c:pt idx="4">
                  <c:v>1.1200000000000001</c:v>
                </c:pt>
              </c:numCache>
            </c:numRef>
          </c:xVal>
          <c:yVal>
            <c:numRef>
              <c:f>'Percentile CI'!$D$12:$D$16</c:f>
              <c:numCache>
                <c:formatCode>0.000</c:formatCode>
                <c:ptCount val="5"/>
                <c:pt idx="0">
                  <c:v>0.35730000000000001</c:v>
                </c:pt>
                <c:pt idx="1">
                  <c:v>0.2611</c:v>
                </c:pt>
                <c:pt idx="2">
                  <c:v>0.16489999999999999</c:v>
                </c:pt>
                <c:pt idx="3">
                  <c:v>6.8699999999999997E-2</c:v>
                </c:pt>
                <c:pt idx="4">
                  <c:v>-2.75E-2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85-40AB-B0FA-4E7CB7C2EDB0}"/>
            </c:ext>
          </c:extLst>
        </c:ser>
        <c:ser>
          <c:idx val="2"/>
          <c:order val="2"/>
          <c:tx>
            <c:strRef>
              <c:f>'Percentile CI'!$E$11</c:f>
              <c:strCache>
                <c:ptCount val="1"/>
                <c:pt idx="0">
                  <c:v>95% CI Hi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'Percentile CI'!$B$12:$B$16</c:f>
              <c:numCache>
                <c:formatCode>0.000</c:formatCode>
                <c:ptCount val="5"/>
                <c:pt idx="0">
                  <c:v>-1.1200000000000001</c:v>
                </c:pt>
                <c:pt idx="1">
                  <c:v>-0.56000000000000005</c:v>
                </c:pt>
                <c:pt idx="2">
                  <c:v>0</c:v>
                </c:pt>
                <c:pt idx="3">
                  <c:v>0.56000000000000005</c:v>
                </c:pt>
                <c:pt idx="4">
                  <c:v>1.1200000000000001</c:v>
                </c:pt>
              </c:numCache>
            </c:numRef>
          </c:xVal>
          <c:yVal>
            <c:numRef>
              <c:f>'Percentile CI'!$E$12:$E$16</c:f>
              <c:numCache>
                <c:formatCode>0.000</c:formatCode>
                <c:ptCount val="5"/>
                <c:pt idx="0">
                  <c:v>0.58809999999999996</c:v>
                </c:pt>
                <c:pt idx="1">
                  <c:v>0.41489999999999999</c:v>
                </c:pt>
                <c:pt idx="2">
                  <c:v>0.26550000000000001</c:v>
                </c:pt>
                <c:pt idx="3">
                  <c:v>0.17560000000000001</c:v>
                </c:pt>
                <c:pt idx="4">
                  <c:v>0.12759999999999999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F85-40AB-B0FA-4E7CB7C2E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656968"/>
        <c:axId val="418661232"/>
        <c:extLst/>
      </c:scatterChart>
      <c:valAx>
        <c:axId val="418656968"/>
        <c:scaling>
          <c:orientation val="minMax"/>
        </c:scaling>
        <c:delete val="0"/>
        <c:axPos val="b"/>
        <c:title>
          <c:tx>
            <c:strRef>
              <c:f>'Percentile CI'!$H$2</c:f>
              <c:strCache>
                <c:ptCount val="1"/>
                <c:pt idx="0">
                  <c:v>W (0.0 = Mean)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661232"/>
        <c:crossesAt val="-4"/>
        <c:crossBetween val="midCat"/>
      </c:valAx>
      <c:valAx>
        <c:axId val="41866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'Percentile CI'!$H$3</c:f>
              <c:strCache>
                <c:ptCount val="1"/>
                <c:pt idx="0">
                  <c:v>Unstandardized Effects of X on Y through M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656968"/>
        <c:crossesAt val="-4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19415</xdr:colOff>
      <xdr:row>5</xdr:row>
      <xdr:rowOff>7327</xdr:rowOff>
    </xdr:from>
    <xdr:to>
      <xdr:col>17</xdr:col>
      <xdr:colOff>550252</xdr:colOff>
      <xdr:row>26</xdr:row>
      <xdr:rowOff>7327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8A2022-0BE7-448C-B034-7C64526810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19415</xdr:colOff>
      <xdr:row>5</xdr:row>
      <xdr:rowOff>7327</xdr:rowOff>
    </xdr:from>
    <xdr:to>
      <xdr:col>17</xdr:col>
      <xdr:colOff>550252</xdr:colOff>
      <xdr:row>26</xdr:row>
      <xdr:rowOff>7327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8BA432-D596-46E9-9F7F-31BCB5B5B3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10B80-6368-4005-A93F-34A4E2B25FC0}">
  <dimension ref="A1:H16"/>
  <sheetViews>
    <sheetView zoomScale="80" zoomScaleNormal="80" workbookViewId="0">
      <selection activeCell="B8" sqref="B8"/>
    </sheetView>
  </sheetViews>
  <sheetFormatPr defaultRowHeight="14.6" x14ac:dyDescent="0.4"/>
  <cols>
    <col min="1" max="1" width="55.4609375" bestFit="1" customWidth="1"/>
    <col min="2" max="2" width="16.84375" bestFit="1" customWidth="1"/>
    <col min="3" max="3" width="9.07421875" bestFit="1" customWidth="1"/>
    <col min="4" max="4" width="8.69140625" bestFit="1" customWidth="1"/>
    <col min="5" max="5" width="9" bestFit="1" customWidth="1"/>
    <col min="7" max="7" width="13" customWidth="1"/>
  </cols>
  <sheetData>
    <row r="1" spans="1:8" x14ac:dyDescent="0.4">
      <c r="A1" s="2" t="s">
        <v>18</v>
      </c>
    </row>
    <row r="2" spans="1:8" x14ac:dyDescent="0.4">
      <c r="G2" s="4" t="s">
        <v>17</v>
      </c>
      <c r="H2" t="str">
        <f>B7&amp;" (0.0 = Mean)"</f>
        <v>W (0.0 = Mean)</v>
      </c>
    </row>
    <row r="3" spans="1:8" ht="15" thickBot="1" x14ac:dyDescent="0.45">
      <c r="G3" s="4" t="s">
        <v>16</v>
      </c>
      <c r="H3" t="str">
        <f xml:space="preserve"> "Unstandardized Effects of " &amp; B5 &amp; " on " &amp; B6</f>
        <v>Unstandardized Effects of X on Y through M</v>
      </c>
    </row>
    <row r="4" spans="1:8" ht="15" thickBot="1" x14ac:dyDescent="0.45">
      <c r="A4" s="2" t="s">
        <v>2</v>
      </c>
      <c r="B4" s="5" t="s">
        <v>3</v>
      </c>
    </row>
    <row r="5" spans="1:8" x14ac:dyDescent="0.4">
      <c r="A5" t="s">
        <v>0</v>
      </c>
      <c r="B5" s="1" t="s">
        <v>19</v>
      </c>
    </row>
    <row r="6" spans="1:8" x14ac:dyDescent="0.4">
      <c r="A6" t="s">
        <v>1</v>
      </c>
      <c r="B6" s="1" t="s">
        <v>20</v>
      </c>
    </row>
    <row r="7" spans="1:8" x14ac:dyDescent="0.4">
      <c r="A7" t="s">
        <v>13</v>
      </c>
      <c r="B7" s="1" t="s">
        <v>21</v>
      </c>
    </row>
    <row r="9" spans="1:8" x14ac:dyDescent="0.4">
      <c r="A9" t="s">
        <v>14</v>
      </c>
      <c r="B9" s="10">
        <v>0.56000000000000005</v>
      </c>
    </row>
    <row r="11" spans="1:8" x14ac:dyDescent="0.4">
      <c r="A11" t="s">
        <v>15</v>
      </c>
      <c r="B11" t="s">
        <v>4</v>
      </c>
      <c r="C11" s="6" t="s">
        <v>5</v>
      </c>
      <c r="D11" s="7" t="s">
        <v>6</v>
      </c>
      <c r="E11" s="6" t="s">
        <v>7</v>
      </c>
    </row>
    <row r="12" spans="1:8" x14ac:dyDescent="0.4">
      <c r="A12" t="s">
        <v>8</v>
      </c>
      <c r="B12" s="8">
        <f>-2*$B$9</f>
        <v>-1.1200000000000001</v>
      </c>
      <c r="C12" s="11">
        <v>0.1812</v>
      </c>
      <c r="D12" s="11">
        <v>0.35730000000000001</v>
      </c>
      <c r="E12" s="11">
        <v>0.621</v>
      </c>
      <c r="F12" s="3"/>
    </row>
    <row r="13" spans="1:8" x14ac:dyDescent="0.4">
      <c r="A13" t="s">
        <v>9</v>
      </c>
      <c r="B13" s="8">
        <f>-1*$B$9</f>
        <v>-0.56000000000000005</v>
      </c>
      <c r="C13" s="11">
        <v>0.14080000000000001</v>
      </c>
      <c r="D13" s="11">
        <v>0.2611</v>
      </c>
      <c r="E13" s="11">
        <v>0.43530000000000002</v>
      </c>
      <c r="F13" s="3"/>
    </row>
    <row r="14" spans="1:8" x14ac:dyDescent="0.4">
      <c r="A14" t="s">
        <v>10</v>
      </c>
      <c r="B14" s="9">
        <f>0*$B$9</f>
        <v>0</v>
      </c>
      <c r="C14" s="11">
        <v>8.6400000000000005E-2</v>
      </c>
      <c r="D14" s="11">
        <v>0.16489999999999999</v>
      </c>
      <c r="E14" s="11">
        <v>0.27829999999999999</v>
      </c>
      <c r="F14" s="3"/>
    </row>
    <row r="15" spans="1:8" x14ac:dyDescent="0.4">
      <c r="A15" t="s">
        <v>11</v>
      </c>
      <c r="B15" s="8">
        <f>1*$B$9</f>
        <v>0.56000000000000005</v>
      </c>
      <c r="C15" s="11">
        <v>-2.23E-2</v>
      </c>
      <c r="D15" s="11">
        <v>6.8699999999999997E-2</v>
      </c>
      <c r="E15" s="11">
        <v>0.18290000000000001</v>
      </c>
      <c r="F15" s="3"/>
    </row>
    <row r="16" spans="1:8" x14ac:dyDescent="0.4">
      <c r="A16" t="s">
        <v>12</v>
      </c>
      <c r="B16" s="8">
        <f>2*$B$9</f>
        <v>1.1200000000000001</v>
      </c>
      <c r="C16" s="11">
        <v>-0.20280000000000001</v>
      </c>
      <c r="D16" s="11">
        <v>-2.75E-2</v>
      </c>
      <c r="E16" s="11">
        <v>0.11899999999999999</v>
      </c>
      <c r="F16" s="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A9CF9-D430-4978-9970-58F3EFFC7149}">
  <dimension ref="A1:H16"/>
  <sheetViews>
    <sheetView tabSelected="1" zoomScale="80" zoomScaleNormal="80" workbookViewId="0">
      <selection activeCell="B8" sqref="B8"/>
    </sheetView>
  </sheetViews>
  <sheetFormatPr defaultRowHeight="14.6" x14ac:dyDescent="0.4"/>
  <cols>
    <col min="1" max="1" width="55.4609375" bestFit="1" customWidth="1"/>
    <col min="2" max="2" width="16.84375" bestFit="1" customWidth="1"/>
    <col min="3" max="3" width="9.07421875" bestFit="1" customWidth="1"/>
    <col min="4" max="4" width="8.69140625" bestFit="1" customWidth="1"/>
    <col min="5" max="5" width="9" bestFit="1" customWidth="1"/>
    <col min="7" max="7" width="13" customWidth="1"/>
  </cols>
  <sheetData>
    <row r="1" spans="1:8" x14ac:dyDescent="0.4">
      <c r="A1" s="2" t="s">
        <v>18</v>
      </c>
    </row>
    <row r="2" spans="1:8" x14ac:dyDescent="0.4">
      <c r="G2" s="4" t="s">
        <v>17</v>
      </c>
      <c r="H2" t="str">
        <f>B7&amp;" (0.0 = Mean)"</f>
        <v>W (0.0 = Mean)</v>
      </c>
    </row>
    <row r="3" spans="1:8" ht="15" thickBot="1" x14ac:dyDescent="0.45">
      <c r="G3" s="4" t="s">
        <v>16</v>
      </c>
      <c r="H3" t="str">
        <f xml:space="preserve"> "Unstandardized Effects of " &amp; B5 &amp; " on " &amp; B6</f>
        <v>Unstandardized Effects of X on Y through M</v>
      </c>
    </row>
    <row r="4" spans="1:8" ht="15" thickBot="1" x14ac:dyDescent="0.45">
      <c r="A4" s="2" t="s">
        <v>2</v>
      </c>
      <c r="B4" s="5" t="s">
        <v>3</v>
      </c>
    </row>
    <row r="5" spans="1:8" x14ac:dyDescent="0.4">
      <c r="A5" t="s">
        <v>0</v>
      </c>
      <c r="B5" s="1" t="str">
        <f>BCCI!B5</f>
        <v>X</v>
      </c>
    </row>
    <row r="6" spans="1:8" x14ac:dyDescent="0.4">
      <c r="A6" t="s">
        <v>1</v>
      </c>
      <c r="B6" s="1" t="str">
        <f>BCCI!B6</f>
        <v>Y through M</v>
      </c>
    </row>
    <row r="7" spans="1:8" x14ac:dyDescent="0.4">
      <c r="A7" t="s">
        <v>13</v>
      </c>
      <c r="B7" s="1" t="str">
        <f>BCCI!B7</f>
        <v>W</v>
      </c>
    </row>
    <row r="9" spans="1:8" x14ac:dyDescent="0.4">
      <c r="A9" t="s">
        <v>14</v>
      </c>
      <c r="B9" s="10">
        <v>0.56000000000000005</v>
      </c>
    </row>
    <row r="11" spans="1:8" x14ac:dyDescent="0.4">
      <c r="A11" t="s">
        <v>15</v>
      </c>
      <c r="B11" t="s">
        <v>4</v>
      </c>
      <c r="C11" s="6" t="s">
        <v>5</v>
      </c>
      <c r="D11" s="7" t="s">
        <v>6</v>
      </c>
      <c r="E11" s="6" t="s">
        <v>7</v>
      </c>
    </row>
    <row r="12" spans="1:8" x14ac:dyDescent="0.4">
      <c r="A12" t="s">
        <v>8</v>
      </c>
      <c r="B12" s="8">
        <f>-2*$B$9</f>
        <v>-1.1200000000000001</v>
      </c>
      <c r="C12" s="11">
        <v>0.16270000000000001</v>
      </c>
      <c r="D12" s="11">
        <v>0.35730000000000001</v>
      </c>
      <c r="E12" s="11">
        <v>0.58809999999999996</v>
      </c>
      <c r="F12" s="3"/>
    </row>
    <row r="13" spans="1:8" x14ac:dyDescent="0.4">
      <c r="A13" t="s">
        <v>9</v>
      </c>
      <c r="B13" s="8">
        <f>-1*$B$9</f>
        <v>-0.56000000000000005</v>
      </c>
      <c r="C13" s="11">
        <v>0.12870000000000001</v>
      </c>
      <c r="D13" s="11">
        <v>0.2611</v>
      </c>
      <c r="E13" s="11">
        <v>0.41489999999999999</v>
      </c>
      <c r="F13" s="3"/>
    </row>
    <row r="14" spans="1:8" x14ac:dyDescent="0.4">
      <c r="A14" t="s">
        <v>10</v>
      </c>
      <c r="B14" s="9">
        <f>0*$B$9</f>
        <v>0</v>
      </c>
      <c r="C14" s="11">
        <v>7.8899999999999998E-2</v>
      </c>
      <c r="D14" s="11">
        <v>0.16489999999999999</v>
      </c>
      <c r="E14" s="11">
        <v>0.26550000000000001</v>
      </c>
      <c r="F14" s="3"/>
    </row>
    <row r="15" spans="1:8" x14ac:dyDescent="0.4">
      <c r="A15" t="s">
        <v>11</v>
      </c>
      <c r="B15" s="8">
        <f>1*$B$9</f>
        <v>0.56000000000000005</v>
      </c>
      <c r="C15" s="11">
        <v>-2.8299999999999999E-2</v>
      </c>
      <c r="D15" s="11">
        <v>6.8699999999999997E-2</v>
      </c>
      <c r="E15" s="11">
        <v>0.17560000000000001</v>
      </c>
      <c r="F15" s="3"/>
    </row>
    <row r="16" spans="1:8" x14ac:dyDescent="0.4">
      <c r="A16" t="s">
        <v>12</v>
      </c>
      <c r="B16" s="8">
        <f>2*$B$9</f>
        <v>1.1200000000000001</v>
      </c>
      <c r="C16" s="11">
        <v>-0.19289999999999999</v>
      </c>
      <c r="D16" s="11">
        <v>-2.75E-2</v>
      </c>
      <c r="E16" s="11">
        <v>0.12759999999999999</v>
      </c>
      <c r="F16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BCCI</vt:lpstr>
      <vt:lpstr>Percentile 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2020-05-07T02:24:53Z</dcterms:created>
  <dcterms:modified xsi:type="dcterms:W3CDTF">2024-06-03T05:43:12Z</dcterms:modified>
</cp:coreProperties>
</file>