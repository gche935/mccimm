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R\mccimm\inst\extdata\"/>
    </mc:Choice>
  </mc:AlternateContent>
  <xr:revisionPtr revIDLastSave="0" documentId="13_ncr:1_{B57AB032-7A79-4F4A-BA5F-07E16C28FA55}" xr6:coauthVersionLast="47" xr6:coauthVersionMax="47" xr10:uidLastSave="{00000000-0000-0000-0000-000000000000}"/>
  <bookViews>
    <workbookView xWindow="-103" yWindow="-103" windowWidth="22149" windowHeight="11829" xr2:uid="{96FB4ECD-48BC-418A-93B0-D06CB4D8204F}"/>
  </bookViews>
  <sheets>
    <sheet name="Fig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G12" i="1"/>
  <c r="F12" i="1"/>
  <c r="E12" i="1"/>
  <c r="D12" i="1"/>
  <c r="D3" i="1"/>
  <c r="C20" i="1" l="1"/>
  <c r="C21" i="1"/>
  <c r="C23" i="1"/>
  <c r="C22" i="1"/>
  <c r="B12" i="1" l="1"/>
  <c r="C11" i="1"/>
  <c r="C10" i="1"/>
  <c r="G15" i="1"/>
  <c r="F15" i="1"/>
  <c r="E15" i="1"/>
  <c r="G14" i="1"/>
  <c r="F14" i="1"/>
  <c r="E14" i="1"/>
  <c r="G13" i="1"/>
  <c r="F13" i="1"/>
  <c r="E13" i="1"/>
  <c r="D15" i="1"/>
  <c r="D14" i="1"/>
  <c r="D13" i="1"/>
</calcChain>
</file>

<file path=xl/sharedStrings.xml><?xml version="1.0" encoding="utf-8"?>
<sst xmlns="http://schemas.openxmlformats.org/spreadsheetml/2006/main" count="45" uniqueCount="27">
  <si>
    <t>Hi</t>
  </si>
  <si>
    <t>Lo</t>
  </si>
  <si>
    <t>INPUTS</t>
  </si>
  <si>
    <t>Independent Variable</t>
  </si>
  <si>
    <t>Moderator Z</t>
  </si>
  <si>
    <t>Moderator W</t>
  </si>
  <si>
    <t>Dependent Variable</t>
  </si>
  <si>
    <t>ESTIMATED EFFECTS</t>
  </si>
  <si>
    <t>Lower Bound</t>
  </si>
  <si>
    <t>Upper Bound</t>
  </si>
  <si>
    <t>X-Axis Label</t>
  </si>
  <si>
    <t>Hi = Mean + 1 s.d.</t>
  </si>
  <si>
    <t>Lo = Mean - 1 s.d.</t>
  </si>
  <si>
    <t>High/High – High/Low</t>
  </si>
  <si>
    <t>High/High – Low/High</t>
  </si>
  <si>
    <t>High/Low – Low/Low</t>
  </si>
  <si>
    <t>Low/High – Low/Low</t>
  </si>
  <si>
    <t>High/High – Low/Low</t>
  </si>
  <si>
    <t>High/Low – Low/High</t>
  </si>
  <si>
    <t>Estimate</t>
  </si>
  <si>
    <t>p-value</t>
  </si>
  <si>
    <t>PERCENTILE CONFIDENCE INTERVALS</t>
  </si>
  <si>
    <t>BIAS-CORRECTED CONFIDENCE INTERVALS</t>
  </si>
  <si>
    <t>Y</t>
  </si>
  <si>
    <t>X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</si>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</sst>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5" fontId="0" fillId="3" borderId="0" xfId="0" applyNumberFormat="1" applyFill="1"/>
    <xf numFmtId="0" fontId="3" fillId="0" borderId="0" xfId="0" applyFont="1"/>
    <xf numFmtId="166" fontId="0" fillId="4" borderId="0" xfId="0" applyNumberFormat="1" applyFill="1"/>
    <xf numFmtId="166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Figure!$C$20</c:f>
              <c:strCache>
                <c:ptCount val="1"/>
                <c:pt idx="0">
                  <c:v>Hi Z, Hi W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Figure!$B$13:$B$15</c:f>
              <c:numCache>
                <c:formatCode>0.0</c:formatCode>
                <c:ptCount val="3"/>
                <c:pt idx="0">
                  <c:v>-1.5</c:v>
                </c:pt>
                <c:pt idx="1">
                  <c:v>0</c:v>
                </c:pt>
                <c:pt idx="2">
                  <c:v>1.5</c:v>
                </c:pt>
              </c:numCache>
            </c:numRef>
          </c:cat>
          <c:val>
            <c:numRef>
              <c:f>Figure!$D$13:$D$15</c:f>
              <c:numCache>
                <c:formatCode>0.0000</c:formatCode>
                <c:ptCount val="3"/>
                <c:pt idx="0">
                  <c:v>-0.1236</c:v>
                </c:pt>
                <c:pt idx="1">
                  <c:v>0</c:v>
                </c:pt>
                <c:pt idx="2">
                  <c:v>0.1236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6-4413-8041-5E478B59A953}"/>
            </c:ext>
          </c:extLst>
        </c:ser>
        <c:ser>
          <c:idx val="1"/>
          <c:order val="1"/>
          <c:tx>
            <c:strRef>
              <c:f>Figure!$C$21</c:f>
              <c:strCache>
                <c:ptCount val="1"/>
                <c:pt idx="0">
                  <c:v>Hi Z, Lo W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Figure!$B$13:$B$15</c:f>
              <c:numCache>
                <c:formatCode>0.0</c:formatCode>
                <c:ptCount val="3"/>
                <c:pt idx="0">
                  <c:v>-1.5</c:v>
                </c:pt>
                <c:pt idx="1">
                  <c:v>0</c:v>
                </c:pt>
                <c:pt idx="2">
                  <c:v>1.5</c:v>
                </c:pt>
              </c:numCache>
            </c:numRef>
          </c:cat>
          <c:val>
            <c:numRef>
              <c:f>Figure!$E$13:$E$15</c:f>
              <c:numCache>
                <c:formatCode>0.0000</c:formatCode>
                <c:ptCount val="3"/>
                <c:pt idx="0">
                  <c:v>0.4869</c:v>
                </c:pt>
                <c:pt idx="1">
                  <c:v>0</c:v>
                </c:pt>
                <c:pt idx="2">
                  <c:v>-0.4869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86-4413-8041-5E478B59A953}"/>
            </c:ext>
          </c:extLst>
        </c:ser>
        <c:ser>
          <c:idx val="2"/>
          <c:order val="2"/>
          <c:tx>
            <c:strRef>
              <c:f>Figure!$C$22</c:f>
              <c:strCache>
                <c:ptCount val="1"/>
                <c:pt idx="0">
                  <c:v>Lo Z, Hi W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Figure!$B$13:$B$15</c:f>
              <c:numCache>
                <c:formatCode>0.0</c:formatCode>
                <c:ptCount val="3"/>
                <c:pt idx="0">
                  <c:v>-1.5</c:v>
                </c:pt>
                <c:pt idx="1">
                  <c:v>0</c:v>
                </c:pt>
                <c:pt idx="2">
                  <c:v>1.5</c:v>
                </c:pt>
              </c:numCache>
            </c:numRef>
          </c:cat>
          <c:val>
            <c:numRef>
              <c:f>Figure!$F$13:$F$15</c:f>
              <c:numCache>
                <c:formatCode>0.0000</c:formatCode>
                <c:ptCount val="3"/>
                <c:pt idx="0">
                  <c:v>0.13214999999999999</c:v>
                </c:pt>
                <c:pt idx="1">
                  <c:v>0</c:v>
                </c:pt>
                <c:pt idx="2">
                  <c:v>-0.13214999999999999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86-4413-8041-5E478B59A953}"/>
            </c:ext>
          </c:extLst>
        </c:ser>
        <c:ser>
          <c:idx val="3"/>
          <c:order val="3"/>
          <c:tx>
            <c:strRef>
              <c:f>Figure!$C$23</c:f>
              <c:strCache>
                <c:ptCount val="1"/>
                <c:pt idx="0">
                  <c:v>Lo Z, Lo 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Figure!$B$13:$B$15</c:f>
              <c:numCache>
                <c:formatCode>0.0</c:formatCode>
                <c:ptCount val="3"/>
                <c:pt idx="0">
                  <c:v>-1.5</c:v>
                </c:pt>
                <c:pt idx="1">
                  <c:v>0</c:v>
                </c:pt>
                <c:pt idx="2">
                  <c:v>1.5</c:v>
                </c:pt>
              </c:numCache>
            </c:numRef>
          </c:cat>
          <c:val>
            <c:numRef>
              <c:f>Figure!$G$13:$G$15</c:f>
              <c:numCache>
                <c:formatCode>0.0000</c:formatCode>
                <c:ptCount val="3"/>
                <c:pt idx="0">
                  <c:v>-0.16994999999999999</c:v>
                </c:pt>
                <c:pt idx="1">
                  <c:v>0</c:v>
                </c:pt>
                <c:pt idx="2">
                  <c:v>0.16994999999999999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86-4413-8041-5E478B59A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491711"/>
        <c:axId val="440485055"/>
      </c:lineChart>
      <c:catAx>
        <c:axId val="440491711"/>
        <c:scaling>
          <c:orientation val="minMax"/>
        </c:scaling>
        <c:delete val="0"/>
        <c:axPos val="b"/>
        <c:title>
          <c:tx>
            <c:strRef>
              <c:f>Figure!$D$3</c:f>
              <c:strCache>
                <c:ptCount val="1"/>
                <c:pt idx="0">
                  <c:v>X (0.00 = Mean)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85055"/>
        <c:crossesAt val="-1"/>
        <c:auto val="1"/>
        <c:lblAlgn val="ctr"/>
        <c:lblOffset val="100"/>
        <c:noMultiLvlLbl val="0"/>
      </c:catAx>
      <c:valAx>
        <c:axId val="440485055"/>
        <c:scaling>
          <c:orientation val="minMax"/>
        </c:scaling>
        <c:delete val="0"/>
        <c:axPos val="l"/>
        <c:title>
          <c:tx>
            <c:strRef>
              <c:f>Figure!$B$2</c:f>
              <c:strCache>
                <c:ptCount val="1"/>
                <c:pt idx="0">
                  <c:v>Y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917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2860</xdr:colOff>
      <xdr:row>1</xdr:row>
      <xdr:rowOff>15011</xdr:rowOff>
    </xdr:from>
    <xdr:to>
      <xdr:col>18</xdr:col>
      <xdr:colOff>54091</xdr:colOff>
      <xdr:row>15</xdr:row>
      <xdr:rowOff>167524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9E6827-C679-14ED-FA7B-5611AA538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F2F-0A57-47F9-A9CC-1B8A1B1D415A}">
  <dimension ref="A1:K47"/>
  <sheetViews>
    <sheetView tabSelected="1" topLeftCell="A6" zoomScale="97" zoomScaleNormal="97" workbookViewId="0">
      <selection activeCell="C18" sqref="C18:C47"/>
    </sheetView>
  </sheetViews>
  <sheetFormatPr defaultRowHeight="13.85" customHeight="1" x14ac:dyDescent="0.4"/>
  <cols>
    <col min="1" max="1" width="21.61328125" customWidth="1"/>
    <col min="2" max="2" width="27.69140625" customWidth="1"/>
    <col min="3" max="3" width="21.921875" customWidth="1"/>
    <col min="4" max="5" width="7.15234375" bestFit="1" customWidth="1"/>
    <col min="6" max="6" width="7.69140625" bestFit="1" customWidth="1"/>
  </cols>
  <sheetData>
    <row r="1" spans="1:7" ht="13.85" customHeight="1" x14ac:dyDescent="0.4">
      <c r="B1" s="6" t="s">
        <v>2</v>
      </c>
    </row>
    <row r="2" spans="1:7" ht="13.85" customHeight="1" x14ac:dyDescent="0.4">
      <c r="A2" t="s">
        <v>6</v>
      </c>
      <c r="B2" s="2" t="s">
        <v>23</v>
      </c>
    </row>
    <row r="3" spans="1:7" ht="13.85" customHeight="1" x14ac:dyDescent="0.4">
      <c r="A3" t="s">
        <v>3</v>
      </c>
      <c r="B3" s="2" t="s">
        <v>24</v>
      </c>
      <c r="C3" s="1" t="s">
        <v>10</v>
      </c>
      <c r="D3" t="str">
        <f>$B$3&amp;" (0.00 = Mean)"</f>
        <v>X (0.00 = Mean)</v>
      </c>
    </row>
    <row r="4" spans="1:7" ht="13.85" customHeight="1" x14ac:dyDescent="0.4">
      <c r="A4" t="s">
        <v>4</v>
      </c>
      <c r="B4" s="2" t="s">
        <v>25</v>
      </c>
    </row>
    <row r="5" spans="1:7" ht="13.85" customHeight="1" x14ac:dyDescent="0.4">
      <c r="A5" t="s">
        <v>5</v>
      </c>
      <c r="B5" s="2" t="s">
        <v>26</v>
      </c>
    </row>
    <row r="7" spans="1:7" ht="13.85" customHeight="1" x14ac:dyDescent="0.4">
      <c r="D7" t="s">
        <v>11</v>
      </c>
    </row>
    <row r="8" spans="1:7" ht="13.85" customHeight="1" x14ac:dyDescent="0.4">
      <c r="D8" t="s">
        <v>12</v>
      </c>
    </row>
    <row r="10" spans="1:7" ht="13.85" customHeight="1" x14ac:dyDescent="0.4">
      <c r="C10" t="str">
        <f>B4</f>
        <v>Z</v>
      </c>
      <c r="D10" t="s">
        <v>0</v>
      </c>
      <c r="E10" t="s">
        <v>0</v>
      </c>
      <c r="F10" t="s">
        <v>1</v>
      </c>
      <c r="G10" t="s">
        <v>1</v>
      </c>
    </row>
    <row r="11" spans="1:7" ht="13.85" customHeight="1" x14ac:dyDescent="0.4">
      <c r="C11" t="str">
        <f>B5</f>
        <v>W</v>
      </c>
      <c r="D11" t="s">
        <v>0</v>
      </c>
      <c r="E11" t="s">
        <v>1</v>
      </c>
      <c r="F11" t="s">
        <v>0</v>
      </c>
      <c r="G11" t="s">
        <v>1</v>
      </c>
    </row>
    <row r="12" spans="1:7" ht="13.85" customHeight="1" x14ac:dyDescent="0.4">
      <c r="B12" t="str">
        <f>B3</f>
        <v>X</v>
      </c>
      <c r="C12" s="1" t="s">
        <v>7</v>
      </c>
      <c r="D12" s="9">
        <f>$G$20</f>
        <v>8.2400000000000001E-2</v>
      </c>
      <c r="E12" s="9">
        <f>$G$21</f>
        <v>-0.3246</v>
      </c>
      <c r="F12" s="9">
        <f>$G$22</f>
        <v>-8.8099999999999998E-2</v>
      </c>
      <c r="G12" s="9">
        <f>$G$23</f>
        <v>0.1133</v>
      </c>
    </row>
    <row r="13" spans="1:7" ht="13.85" customHeight="1" x14ac:dyDescent="0.4">
      <c r="A13" s="6" t="s">
        <v>8</v>
      </c>
      <c r="B13" s="3">
        <v>-1.5</v>
      </c>
      <c r="D13" s="5">
        <f t="shared" ref="D13:G15" si="0">$B13*D$12</f>
        <v>-0.1236</v>
      </c>
      <c r="E13" s="5">
        <f t="shared" si="0"/>
        <v>0.4869</v>
      </c>
      <c r="F13" s="5">
        <f t="shared" si="0"/>
        <v>0.13214999999999999</v>
      </c>
      <c r="G13" s="5">
        <f t="shared" si="0"/>
        <v>-0.16994999999999999</v>
      </c>
    </row>
    <row r="14" spans="1:7" ht="13.85" customHeight="1" x14ac:dyDescent="0.4">
      <c r="B14" s="4">
        <v>0</v>
      </c>
      <c r="D14" s="5">
        <f t="shared" si="0"/>
        <v>0</v>
      </c>
      <c r="E14" s="5">
        <f t="shared" si="0"/>
        <v>0</v>
      </c>
      <c r="F14" s="5">
        <f t="shared" si="0"/>
        <v>0</v>
      </c>
      <c r="G14" s="5">
        <f t="shared" si="0"/>
        <v>0</v>
      </c>
    </row>
    <row r="15" spans="1:7" ht="13.85" customHeight="1" x14ac:dyDescent="0.4">
      <c r="A15" s="6" t="s">
        <v>9</v>
      </c>
      <c r="B15" s="3">
        <v>1.5</v>
      </c>
      <c r="D15" s="5">
        <f t="shared" si="0"/>
        <v>0.1236</v>
      </c>
      <c r="E15" s="5">
        <f t="shared" si="0"/>
        <v>-0.4869</v>
      </c>
      <c r="F15" s="5">
        <f t="shared" si="0"/>
        <v>-0.13214999999999999</v>
      </c>
      <c r="G15" s="5">
        <f t="shared" si="0"/>
        <v>0.16994999999999999</v>
      </c>
    </row>
    <row r="18" spans="3:11" ht="13.85" customHeight="1" x14ac:dyDescent="0.4">
      <c r="C18" s="10" t="s">
        <v>21</v>
      </c>
    </row>
    <row r="19" spans="3:11" ht="13.85" customHeight="1" x14ac:dyDescent="0.4">
      <c r="D19" s="11">
        <v>5.0000000000000001E-3</v>
      </c>
      <c r="E19" s="11">
        <v>2.5000000000000001E-2</v>
      </c>
      <c r="F19" s="11">
        <v>0.05</v>
      </c>
      <c r="G19" s="12" t="s">
        <v>19</v>
      </c>
      <c r="H19" s="11">
        <v>0.95</v>
      </c>
      <c r="I19" s="11">
        <v>0.97499999999999998</v>
      </c>
      <c r="J19" s="11">
        <v>0.995</v>
      </c>
      <c r="K19" s="13" t="s">
        <v>20</v>
      </c>
    </row>
    <row r="20" spans="3:11" ht="13.85" customHeight="1" x14ac:dyDescent="0.4">
      <c r="C20" t="str">
        <f>"Hi "&amp;$B$4&amp;", Hi "&amp;$B$5</f>
        <v>Hi Z, Hi W</v>
      </c>
      <c r="D20" s="5">
        <v>-0.15229999999999999</v>
      </c>
      <c r="E20" s="5">
        <v>-9.3899999999999997E-2</v>
      </c>
      <c r="F20" s="5">
        <v>-6.4500000000000002E-2</v>
      </c>
      <c r="G20" s="5">
        <v>8.2400000000000001E-2</v>
      </c>
      <c r="H20" s="5">
        <v>0.23219999999999999</v>
      </c>
      <c r="I20" s="5">
        <v>0.26100000000000001</v>
      </c>
      <c r="J20" s="5">
        <v>0.31730000000000003</v>
      </c>
      <c r="K20" s="5">
        <v>0.34710000000000002</v>
      </c>
    </row>
    <row r="21" spans="3:11" ht="13.85" customHeight="1" x14ac:dyDescent="0.4">
      <c r="C21" t="str">
        <f>"Hi "&amp;$B$4&amp;", Lo "&amp;$B$5</f>
        <v>Hi Z, Lo W</v>
      </c>
      <c r="D21" s="5">
        <v>-0.76670000000000005</v>
      </c>
      <c r="E21" s="5">
        <v>-0.66059999999999997</v>
      </c>
      <c r="F21" s="5">
        <v>-0.60709999999999997</v>
      </c>
      <c r="G21" s="5">
        <v>-0.3246</v>
      </c>
      <c r="H21" s="5">
        <v>-5.1900000000000002E-2</v>
      </c>
      <c r="I21" s="5">
        <v>3.0000000000000001E-3</v>
      </c>
      <c r="J21" s="5">
        <v>0.1125</v>
      </c>
      <c r="K21" s="5">
        <v>5.21E-2</v>
      </c>
    </row>
    <row r="22" spans="3:11" ht="13.85" customHeight="1" x14ac:dyDescent="0.4">
      <c r="C22" t="str">
        <f t="shared" ref="C22" si="1">"Lo "&amp;$B$4&amp;", Hi "&amp;$B$5</f>
        <v>Lo Z, Hi W</v>
      </c>
      <c r="D22" s="5">
        <v>-0.3211</v>
      </c>
      <c r="E22" s="5">
        <v>-0.26429999999999998</v>
      </c>
      <c r="F22" s="5">
        <v>-0.23569999999999999</v>
      </c>
      <c r="G22" s="5">
        <v>-8.8099999999999998E-2</v>
      </c>
      <c r="H22" s="5">
        <v>5.4100000000000002E-2</v>
      </c>
      <c r="I22" s="5">
        <v>8.2100000000000006E-2</v>
      </c>
      <c r="J22" s="5">
        <v>0.13780000000000001</v>
      </c>
      <c r="K22" s="5">
        <v>0.30280000000000001</v>
      </c>
    </row>
    <row r="23" spans="3:11" ht="13.85" customHeight="1" x14ac:dyDescent="0.4">
      <c r="C23" t="str">
        <f>"Lo "&amp;$B$4&amp;", Lo "&amp;$B$5</f>
        <v>Lo Z, Lo W</v>
      </c>
      <c r="D23" s="5">
        <v>-0.14799999999999999</v>
      </c>
      <c r="E23" s="5">
        <v>-7.9699999999999993E-2</v>
      </c>
      <c r="F23" s="5">
        <v>-4.6199999999999998E-2</v>
      </c>
      <c r="G23" s="5">
        <v>0.1133</v>
      </c>
      <c r="H23" s="5">
        <v>0.27700000000000002</v>
      </c>
      <c r="I23" s="5">
        <v>0.30759999999999998</v>
      </c>
      <c r="J23" s="5">
        <v>0.36809999999999998</v>
      </c>
      <c r="K23" s="5">
        <v>0.23139999999999999</v>
      </c>
    </row>
    <row r="25" spans="3:11" ht="13.85" customHeight="1" x14ac:dyDescent="0.4">
      <c r="D25" s="11">
        <v>5.0000000000000001E-3</v>
      </c>
      <c r="E25" s="11">
        <v>2.5000000000000001E-2</v>
      </c>
      <c r="F25" s="11">
        <v>0.05</v>
      </c>
      <c r="G25" s="12" t="s">
        <v>19</v>
      </c>
      <c r="H25" s="11">
        <v>0.95</v>
      </c>
      <c r="I25" s="11">
        <v>0.97499999999999998</v>
      </c>
      <c r="J25" s="11">
        <v>0.995</v>
      </c>
      <c r="K25" s="13" t="s">
        <v>20</v>
      </c>
    </row>
    <row r="26" spans="3:11" ht="13.85" customHeight="1" x14ac:dyDescent="0.4">
      <c r="C26" s="7" t="s">
        <v>13</v>
      </c>
      <c r="D26" s="5">
        <v>-0.13719999999999999</v>
      </c>
      <c r="E26" s="5">
        <v>-6.9999999999999999E-4</v>
      </c>
      <c r="F26" s="5">
        <v>6.7799999999999999E-2</v>
      </c>
      <c r="G26" s="5">
        <v>0.40699999999999997</v>
      </c>
      <c r="H26" s="5">
        <v>0.77180000000000004</v>
      </c>
      <c r="I26" s="5">
        <v>0.84189999999999998</v>
      </c>
      <c r="J26" s="5">
        <v>0.9819</v>
      </c>
      <c r="K26" s="5">
        <v>5.0299999999999997E-2</v>
      </c>
    </row>
    <row r="27" spans="3:11" ht="13.85" customHeight="1" x14ac:dyDescent="0.4">
      <c r="C27" s="8" t="s">
        <v>14</v>
      </c>
      <c r="D27" s="5">
        <v>-0.1424</v>
      </c>
      <c r="E27" s="5">
        <v>-5.9700000000000003E-2</v>
      </c>
      <c r="F27" s="5">
        <v>-1.9599999999999999E-2</v>
      </c>
      <c r="G27" s="5">
        <v>0.17050000000000001</v>
      </c>
      <c r="H27" s="5">
        <v>0.35070000000000001</v>
      </c>
      <c r="I27" s="5">
        <v>0.38519999999999999</v>
      </c>
      <c r="J27" s="5">
        <v>0.45429999999999998</v>
      </c>
      <c r="K27" s="5">
        <v>0.1368</v>
      </c>
    </row>
    <row r="28" spans="3:11" ht="13.85" customHeight="1" x14ac:dyDescent="0.4">
      <c r="C28" s="7" t="s">
        <v>15</v>
      </c>
      <c r="D28" s="5">
        <v>-0.94289999999999996</v>
      </c>
      <c r="E28" s="5">
        <v>-0.82230000000000003</v>
      </c>
      <c r="F28" s="5">
        <v>-0.76190000000000002</v>
      </c>
      <c r="G28" s="5">
        <v>-0.43790000000000001</v>
      </c>
      <c r="H28" s="5">
        <v>-9.3399999999999997E-2</v>
      </c>
      <c r="I28" s="5">
        <v>-1.8700000000000001E-2</v>
      </c>
      <c r="J28" s="5">
        <v>0.13619999999999999</v>
      </c>
      <c r="K28" s="5">
        <v>4.1599999999999998E-2</v>
      </c>
    </row>
    <row r="29" spans="3:11" ht="13.85" customHeight="1" x14ac:dyDescent="0.4">
      <c r="C29" s="8" t="s">
        <v>16</v>
      </c>
      <c r="D29" s="5">
        <v>-0.64359999999999995</v>
      </c>
      <c r="E29" s="5">
        <v>-0.53669999999999995</v>
      </c>
      <c r="F29" s="5">
        <v>-0.4829</v>
      </c>
      <c r="G29" s="5">
        <v>-0.2014</v>
      </c>
      <c r="H29" s="5">
        <v>6.4399999999999999E-2</v>
      </c>
      <c r="I29" s="5">
        <v>0.11840000000000001</v>
      </c>
      <c r="J29" s="5">
        <v>0.22789999999999999</v>
      </c>
      <c r="K29" s="5">
        <v>0.20599999999999999</v>
      </c>
    </row>
    <row r="30" spans="3:11" ht="13.85" customHeight="1" x14ac:dyDescent="0.4">
      <c r="C30" s="7" t="s">
        <v>17</v>
      </c>
      <c r="D30" s="5">
        <v>-0.39779999999999999</v>
      </c>
      <c r="E30" s="5">
        <v>-0.30890000000000001</v>
      </c>
      <c r="F30" s="5">
        <v>-0.2641</v>
      </c>
      <c r="G30" s="5">
        <v>-3.09E-2</v>
      </c>
      <c r="H30" s="5">
        <v>0.1898</v>
      </c>
      <c r="I30" s="5">
        <v>0.2334</v>
      </c>
      <c r="J30" s="5">
        <v>0.31929999999999997</v>
      </c>
      <c r="K30" s="5">
        <v>0.79630000000000001</v>
      </c>
    </row>
    <row r="31" spans="3:11" ht="13.85" customHeight="1" x14ac:dyDescent="0.4">
      <c r="C31" s="8" t="s">
        <v>18</v>
      </c>
      <c r="D31" s="5">
        <v>-0.73740000000000006</v>
      </c>
      <c r="E31" s="5">
        <v>-0.61629999999999996</v>
      </c>
      <c r="F31" s="5">
        <v>-0.55549999999999999</v>
      </c>
      <c r="G31" s="5">
        <v>-0.23649999999999999</v>
      </c>
      <c r="H31" s="5">
        <v>6.7100000000000007E-2</v>
      </c>
      <c r="I31" s="5">
        <v>0.127</v>
      </c>
      <c r="J31" s="5">
        <v>0.2452</v>
      </c>
      <c r="K31" s="5">
        <v>0.19719999999999999</v>
      </c>
    </row>
    <row r="34" spans="3:11" ht="13.85" customHeight="1" x14ac:dyDescent="0.4">
      <c r="C34" s="10" t="s">
        <v>22</v>
      </c>
    </row>
    <row r="35" spans="3:11" ht="13.85" customHeight="1" x14ac:dyDescent="0.4">
      <c r="D35" s="11">
        <v>5.0000000000000001E-3</v>
      </c>
      <c r="E35" s="11">
        <v>2.5000000000000001E-2</v>
      </c>
      <c r="F35" s="11">
        <v>0.05</v>
      </c>
      <c r="G35" s="12" t="s">
        <v>19</v>
      </c>
      <c r="H35" s="11">
        <v>0.95</v>
      </c>
      <c r="I35" s="11">
        <v>0.97499999999999998</v>
      </c>
      <c r="J35" s="11">
        <v>0.995</v>
      </c>
      <c r="K35" s="13" t="s">
        <v>20</v>
      </c>
    </row>
    <row r="36" spans="3:11" ht="13.85" customHeight="1" x14ac:dyDescent="0.4">
      <c r="C36" t="str">
        <f>"Hi "&amp;$B$4&amp;", Hi "&amp;$B$5</f>
        <v>Hi Z, Hi W</v>
      </c>
      <c r="D36" s="5">
        <v>-0.15229999999999999</v>
      </c>
      <c r="E36" s="5">
        <v>-9.3899999999999997E-2</v>
      </c>
      <c r="F36" s="5">
        <v>-6.4500000000000002E-2</v>
      </c>
      <c r="G36" s="5">
        <v>8.2400000000000001E-2</v>
      </c>
      <c r="H36" s="5">
        <v>0.23219999999999999</v>
      </c>
      <c r="I36" s="5">
        <v>0.26100000000000001</v>
      </c>
      <c r="J36" s="5">
        <v>0.31730000000000003</v>
      </c>
      <c r="K36" s="5">
        <v>0.34710000000000002</v>
      </c>
    </row>
    <row r="37" spans="3:11" ht="13.85" customHeight="1" x14ac:dyDescent="0.4">
      <c r="C37" t="str">
        <f>"Hi "&amp;$B$4&amp;", Lo "&amp;$B$5</f>
        <v>Hi Z, Lo W</v>
      </c>
      <c r="D37" s="5">
        <v>-0.76670000000000005</v>
      </c>
      <c r="E37" s="5">
        <v>-0.66059999999999997</v>
      </c>
      <c r="F37" s="5">
        <v>-0.60709999999999997</v>
      </c>
      <c r="G37" s="5">
        <v>-0.3246</v>
      </c>
      <c r="H37" s="5">
        <v>-5.1900000000000002E-2</v>
      </c>
      <c r="I37" s="5">
        <v>3.0000000000000001E-3</v>
      </c>
      <c r="J37" s="5">
        <v>0.1125</v>
      </c>
      <c r="K37" s="5">
        <v>5.21E-2</v>
      </c>
    </row>
    <row r="38" spans="3:11" ht="13.85" customHeight="1" x14ac:dyDescent="0.4">
      <c r="C38" t="str">
        <f t="shared" ref="C38" si="2">"Lo "&amp;$B$4&amp;", Hi "&amp;$B$5</f>
        <v>Lo Z, Hi W</v>
      </c>
      <c r="D38" s="5">
        <v>-0.3211</v>
      </c>
      <c r="E38" s="5">
        <v>-0.26429999999999998</v>
      </c>
      <c r="F38" s="5">
        <v>-0.23569999999999999</v>
      </c>
      <c r="G38" s="5">
        <v>-8.8099999999999998E-2</v>
      </c>
      <c r="H38" s="5">
        <v>5.4100000000000002E-2</v>
      </c>
      <c r="I38" s="5">
        <v>8.2100000000000006E-2</v>
      </c>
      <c r="J38" s="5">
        <v>0.13780000000000001</v>
      </c>
      <c r="K38" s="5">
        <v>0.30280000000000001</v>
      </c>
    </row>
    <row r="39" spans="3:11" ht="13.85" customHeight="1" x14ac:dyDescent="0.4">
      <c r="C39" t="str">
        <f>"Lo "&amp;$B$4&amp;", Lo "&amp;$B$5</f>
        <v>Lo Z, Lo W</v>
      </c>
      <c r="D39" s="5">
        <v>-0.14799999999999999</v>
      </c>
      <c r="E39" s="5">
        <v>-7.9699999999999993E-2</v>
      </c>
      <c r="F39" s="5">
        <v>-4.6199999999999998E-2</v>
      </c>
      <c r="G39" s="5">
        <v>0.1133</v>
      </c>
      <c r="H39" s="5">
        <v>0.27700000000000002</v>
      </c>
      <c r="I39" s="5">
        <v>0.30759999999999998</v>
      </c>
      <c r="J39" s="5">
        <v>0.36809999999999998</v>
      </c>
      <c r="K39" s="5">
        <v>0.23139999999999999</v>
      </c>
    </row>
    <row r="41" spans="3:11" ht="13.85" customHeight="1" x14ac:dyDescent="0.4">
      <c r="D41" s="11">
        <v>5.0000000000000001E-3</v>
      </c>
      <c r="E41" s="11">
        <v>2.5000000000000001E-2</v>
      </c>
      <c r="F41" s="11">
        <v>0.05</v>
      </c>
      <c r="G41" s="12" t="s">
        <v>19</v>
      </c>
      <c r="H41" s="11">
        <v>0.95</v>
      </c>
      <c r="I41" s="11">
        <v>0.97499999999999998</v>
      </c>
      <c r="J41" s="11">
        <v>0.995</v>
      </c>
      <c r="K41" s="13" t="s">
        <v>20</v>
      </c>
    </row>
    <row r="42" spans="3:11" ht="13.85" customHeight="1" x14ac:dyDescent="0.4">
      <c r="C42" s="7" t="s">
        <v>13</v>
      </c>
      <c r="D42" s="5">
        <v>-0.13719999999999999</v>
      </c>
      <c r="E42" s="5">
        <v>-6.9999999999999999E-4</v>
      </c>
      <c r="F42" s="5">
        <v>6.7799999999999999E-2</v>
      </c>
      <c r="G42" s="5">
        <v>0.40699999999999997</v>
      </c>
      <c r="H42" s="5">
        <v>0.77180000000000004</v>
      </c>
      <c r="I42" s="5">
        <v>0.84189999999999998</v>
      </c>
      <c r="J42" s="5">
        <v>0.9819</v>
      </c>
      <c r="K42" s="5">
        <v>5.0299999999999997E-2</v>
      </c>
    </row>
    <row r="43" spans="3:11" ht="13.85" customHeight="1" x14ac:dyDescent="0.4">
      <c r="C43" s="8" t="s">
        <v>14</v>
      </c>
      <c r="D43" s="5">
        <v>-0.1424</v>
      </c>
      <c r="E43" s="5">
        <v>-5.9700000000000003E-2</v>
      </c>
      <c r="F43" s="5">
        <v>-1.9599999999999999E-2</v>
      </c>
      <c r="G43" s="5">
        <v>0.17050000000000001</v>
      </c>
      <c r="H43" s="5">
        <v>0.35070000000000001</v>
      </c>
      <c r="I43" s="5">
        <v>0.38519999999999999</v>
      </c>
      <c r="J43" s="5">
        <v>0.45429999999999998</v>
      </c>
      <c r="K43" s="5">
        <v>0.1368</v>
      </c>
    </row>
    <row r="44" spans="3:11" ht="13.85" customHeight="1" x14ac:dyDescent="0.4">
      <c r="C44" s="7" t="s">
        <v>15</v>
      </c>
      <c r="D44" s="5">
        <v>-0.94289999999999996</v>
      </c>
      <c r="E44" s="5">
        <v>-0.82230000000000003</v>
      </c>
      <c r="F44" s="5">
        <v>-0.76190000000000002</v>
      </c>
      <c r="G44" s="5">
        <v>-0.43790000000000001</v>
      </c>
      <c r="H44" s="5">
        <v>-9.3399999999999997E-2</v>
      </c>
      <c r="I44" s="5">
        <v>-1.8700000000000001E-2</v>
      </c>
      <c r="J44" s="5">
        <v>0.13619999999999999</v>
      </c>
      <c r="K44" s="5">
        <v>4.1599999999999998E-2</v>
      </c>
    </row>
    <row r="45" spans="3:11" ht="13.85" customHeight="1" x14ac:dyDescent="0.4">
      <c r="C45" s="8" t="s">
        <v>16</v>
      </c>
      <c r="D45" s="5">
        <v>-0.64359999999999995</v>
      </c>
      <c r="E45" s="5">
        <v>-0.53669999999999995</v>
      </c>
      <c r="F45" s="5">
        <v>-0.4829</v>
      </c>
      <c r="G45" s="5">
        <v>-0.2014</v>
      </c>
      <c r="H45" s="5">
        <v>6.4399999999999999E-2</v>
      </c>
      <c r="I45" s="5">
        <v>0.11840000000000001</v>
      </c>
      <c r="J45" s="5">
        <v>0.22789999999999999</v>
      </c>
      <c r="K45" s="5">
        <v>0.20599999999999999</v>
      </c>
    </row>
    <row r="46" spans="3:11" ht="13.85" customHeight="1" x14ac:dyDescent="0.4">
      <c r="C46" s="7" t="s">
        <v>17</v>
      </c>
      <c r="D46" s="5">
        <v>-0.39779999999999999</v>
      </c>
      <c r="E46" s="5">
        <v>-0.30890000000000001</v>
      </c>
      <c r="F46" s="5">
        <v>-0.2641</v>
      </c>
      <c r="G46" s="5">
        <v>-3.09E-2</v>
      </c>
      <c r="H46" s="5">
        <v>0.1898</v>
      </c>
      <c r="I46" s="5">
        <v>0.2334</v>
      </c>
      <c r="J46" s="5">
        <v>0.31929999999999997</v>
      </c>
      <c r="K46" s="5">
        <v>0.79630000000000001</v>
      </c>
    </row>
    <row r="47" spans="3:11" ht="13.85" customHeight="1" x14ac:dyDescent="0.4">
      <c r="C47" s="8" t="s">
        <v>18</v>
      </c>
      <c r="D47" s="5">
        <v>-0.73740000000000006</v>
      </c>
      <c r="E47" s="5">
        <v>-0.61629999999999996</v>
      </c>
      <c r="F47" s="5">
        <v>-0.55549999999999999</v>
      </c>
      <c r="G47" s="5">
        <v>-0.23649999999999999</v>
      </c>
      <c r="H47" s="5">
        <v>6.7100000000000007E-2</v>
      </c>
      <c r="I47" s="5">
        <v>0.127</v>
      </c>
      <c r="J47" s="5">
        <v>0.2452</v>
      </c>
      <c r="K47" s="5">
        <v>0.19719999999999999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Wai Hung Gordon Cheung</cp:lastModifiedBy>
  <dcterms:created xsi:type="dcterms:W3CDTF">2023-07-12T01:28:07Z</dcterms:created>
  <dcterms:modified xsi:type="dcterms:W3CDTF">2024-06-02T02:42:07Z</dcterms:modified>
</cp:coreProperties>
</file>